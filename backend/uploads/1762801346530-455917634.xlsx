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duardo.goncalves\Downloads\"/>
    </mc:Choice>
  </mc:AlternateContent>
  <xr:revisionPtr revIDLastSave="0" documentId="8_{3730377C-609A-4C35-8C25-94F484171D92}" xr6:coauthVersionLast="47" xr6:coauthVersionMax="47" xr10:uidLastSave="{00000000-0000-0000-0000-000000000000}"/>
  <bookViews>
    <workbookView xWindow="-108" yWindow="-108" windowWidth="23256" windowHeight="12456" tabRatio="594" firstSheet="3" activeTab="4" xr2:uid="{00000000-000D-0000-FFFF-FFFF00000000}"/>
  </bookViews>
  <sheets>
    <sheet name="MAPA DE EMBARQUE" sheetId="2" state="hidden" r:id="rId1"/>
    <sheet name="MAPA2 " sheetId="3" state="hidden" r:id="rId2"/>
    <sheet name="Plan4" sheetId="8" state="hidden" r:id="rId3"/>
    <sheet name="Planilha4" sheetId="12" r:id="rId4"/>
    <sheet name="IMPRESSÃO" sheetId="10" r:id="rId5"/>
    <sheet name="Planilha3" sheetId="11" r:id="rId6"/>
  </sheets>
  <externalReferences>
    <externalReference r:id="rId7"/>
  </externalReferences>
  <definedNames>
    <definedName name="_xlnm.Print_Area" localSheetId="4">IMPRESSÃO!$B$1:$H$9,IMPRESSÃO!$J$1:$P$9,IMPRESSÃO!$R$1:$X$9,IMPRESSÃO!$B$11:$H$19,IMPRESSÃO!$J$11:$P$19,IMPRESSÃO!$R$11:$X$19,IMPRESSÃO!$B$21:$H$29,IMPRESSÃO!$J$21:$P$29,IMPRESSÃO!$R$21:$X$29,IMPRESSÃO!$B$31:$H$39,IMPRESSÃO!$J$31:$P$39,IMPRESSÃO!$R$31:$X$39,IMPRESSÃO!$B$41:$H$49,IMPRESSÃO!$J$41:$P$49,IMPRESSÃO!$R$41:$X$49,IMPRESSÃO!$B$51:$H$59,IMPRESSÃO!$J$51:$P$59,IMPRESSÃO!$R$51:$X$59,IMPRESSÃO!$B$61:$H$69,IMPRESSÃO!$J$61:$P$69,IMPRESSÃO!$R$61:$X$69,IMPRESSÃO!$B$71:$H$79,IMPRESSÃO!$J$71:$P$79,IMPRESSÃO!$R$71:$X$79,IMPRESSÃO!$B$81:$H$89,IMPRESSÃO!$J$81:$P$89,IMPRESSÃO!$R$81:$X$89,IMPRESSÃO!$B$91:$H$99,IMPRESSÃO!$J$91:$P$99,IMPRESSÃO!$R$91:$X$99,IMPRESSÃO!$B$101:$H$109,IMPRESSÃO!$J$101:$P$109,IMPRESSÃO!$R$101:$X$109,IMPRESSÃO!$B$111:$H$119,IMPRESSÃO!$J$111:$P$119,IMPRESSÃO!$R$111:$X$119,IMPRESSÃO!$B$121:$H$129,IMPRESSÃO!$J$121:$P$129,IMPRESSÃO!$R$121:$X$129,IMPRESSÃO!$B$131:$H$139,IMPRESSÃO!$J$131:$P$139,IMPRESSÃO!$R$131:$X$139,IMPRESSÃO!$B$141:$H$149,IMPRESSÃO!$J$141:$P$149,IMPRESSÃO!$R$141:$X$149,IMPRESSÃO!$B$151:$H$159,IMPRESSÃO!$J$151:$P$159,IMPRESSÃO!$R$151:$X$159,IMPRESSÃO!$B$161:$H$169,IMPRESSÃO!$J$161:$P$169,IMPRESSÃO!$R$161:$X$169,IMPRESSÃO!$B$171:$H$179,IMPRESSÃO!$J$171:$P$179,IMPRESSÃO!$R$171:$X$179,IMPRESSÃO!$B$181:$H$189,IMPRESSÃO!$J$181:$P$189,IMPRESSÃO!$R$181:$X$189</definedName>
    <definedName name="_xlnm.Print_Area" localSheetId="0">'MAPA DE EMBARQUE'!$A$1:$M$22</definedName>
    <definedName name="_xlnm.Print_Area" localSheetId="1">'MAPA2 '!$A$1:$M$22</definedName>
    <definedName name="BALSAS">[1]ETIQUETA!$E$21:$E$34</definedName>
    <definedName name="PAD">[1]ETIQUETA!$E$36:$E$49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0" l="1"/>
  <c r="G68" i="10"/>
  <c r="O68" i="10"/>
  <c r="E18" i="10"/>
  <c r="E16" i="10"/>
  <c r="U4" i="10"/>
  <c r="E86" i="10"/>
  <c r="E88" i="10"/>
  <c r="E116" i="10"/>
  <c r="E118" i="10"/>
  <c r="E48" i="10"/>
  <c r="C2" i="12"/>
  <c r="C3" i="12" s="1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E181" i="10" l="1"/>
  <c r="C21" i="10"/>
  <c r="E24" i="10"/>
  <c r="E26" i="10"/>
  <c r="E28" i="10"/>
  <c r="G28" i="10"/>
  <c r="C31" i="10"/>
  <c r="E34" i="10"/>
  <c r="E36" i="10"/>
  <c r="E38" i="10"/>
  <c r="G38" i="10"/>
  <c r="C41" i="10"/>
  <c r="E44" i="10"/>
  <c r="G48" i="10"/>
  <c r="C51" i="10"/>
  <c r="E54" i="10"/>
  <c r="E56" i="10"/>
  <c r="E58" i="10"/>
  <c r="G58" i="10"/>
  <c r="C61" i="10"/>
  <c r="E64" i="10"/>
  <c r="E66" i="10"/>
  <c r="E68" i="10"/>
  <c r="C71" i="10"/>
  <c r="E74" i="10"/>
  <c r="E76" i="10"/>
  <c r="E78" i="10"/>
  <c r="G78" i="10"/>
  <c r="C81" i="10"/>
  <c r="E84" i="10"/>
  <c r="G88" i="10"/>
  <c r="C91" i="10"/>
  <c r="E94" i="10"/>
  <c r="E96" i="10"/>
  <c r="E98" i="10"/>
  <c r="G98" i="10"/>
  <c r="C101" i="10"/>
  <c r="E104" i="10"/>
  <c r="E106" i="10"/>
  <c r="E108" i="10"/>
  <c r="G108" i="10"/>
  <c r="C111" i="10"/>
  <c r="E114" i="10"/>
  <c r="G118" i="10"/>
  <c r="C121" i="10"/>
  <c r="E124" i="10"/>
  <c r="E126" i="10"/>
  <c r="E128" i="10"/>
  <c r="G128" i="10"/>
  <c r="C131" i="10"/>
  <c r="E134" i="10"/>
  <c r="G138" i="10"/>
  <c r="C141" i="10"/>
  <c r="E144" i="10"/>
  <c r="E146" i="10"/>
  <c r="E148" i="10"/>
  <c r="G148" i="10"/>
  <c r="C151" i="10"/>
  <c r="E154" i="10"/>
  <c r="E156" i="10"/>
  <c r="E158" i="10"/>
  <c r="G158" i="10"/>
  <c r="C161" i="10"/>
  <c r="E164" i="10"/>
  <c r="E166" i="10"/>
  <c r="E168" i="10"/>
  <c r="G168" i="10"/>
  <c r="C171" i="10"/>
  <c r="E174" i="10"/>
  <c r="E176" i="10"/>
  <c r="E178" i="10"/>
  <c r="G178" i="10"/>
  <c r="C181" i="10"/>
  <c r="E184" i="10"/>
  <c r="E186" i="10"/>
  <c r="E188" i="10"/>
  <c r="G188" i="10"/>
  <c r="C11" i="10"/>
  <c r="E14" i="10"/>
  <c r="G18" i="10"/>
  <c r="S11" i="10"/>
  <c r="U14" i="10"/>
  <c r="U16" i="10"/>
  <c r="U18" i="10"/>
  <c r="W18" i="10"/>
  <c r="S21" i="10"/>
  <c r="U24" i="10"/>
  <c r="U26" i="10"/>
  <c r="U28" i="10"/>
  <c r="W28" i="10"/>
  <c r="S31" i="10"/>
  <c r="U34" i="10"/>
  <c r="U36" i="10"/>
  <c r="U38" i="10"/>
  <c r="W38" i="10"/>
  <c r="S41" i="10"/>
  <c r="U44" i="10"/>
  <c r="U46" i="10"/>
  <c r="U48" i="10"/>
  <c r="W48" i="10"/>
  <c r="S51" i="10"/>
  <c r="U54" i="10"/>
  <c r="U56" i="10"/>
  <c r="U58" i="10"/>
  <c r="W58" i="10"/>
  <c r="S61" i="10"/>
  <c r="U64" i="10"/>
  <c r="U66" i="10"/>
  <c r="U68" i="10"/>
  <c r="W68" i="10"/>
  <c r="S71" i="10"/>
  <c r="U74" i="10"/>
  <c r="U76" i="10"/>
  <c r="U78" i="10"/>
  <c r="W78" i="10"/>
  <c r="S81" i="10"/>
  <c r="U84" i="10"/>
  <c r="U86" i="10"/>
  <c r="U88" i="10"/>
  <c r="W88" i="10"/>
  <c r="S91" i="10"/>
  <c r="U94" i="10"/>
  <c r="U96" i="10"/>
  <c r="U98" i="10"/>
  <c r="W98" i="10"/>
  <c r="S101" i="10"/>
  <c r="U104" i="10"/>
  <c r="U106" i="10"/>
  <c r="U108" i="10"/>
  <c r="W108" i="10"/>
  <c r="S111" i="10"/>
  <c r="U114" i="10"/>
  <c r="U116" i="10"/>
  <c r="U118" i="10"/>
  <c r="W118" i="10"/>
  <c r="S121" i="10"/>
  <c r="U124" i="10"/>
  <c r="U126" i="10"/>
  <c r="U128" i="10"/>
  <c r="W128" i="10"/>
  <c r="S131" i="10"/>
  <c r="U134" i="10"/>
  <c r="U136" i="10"/>
  <c r="U138" i="10"/>
  <c r="W138" i="10"/>
  <c r="S141" i="10"/>
  <c r="U144" i="10"/>
  <c r="U146" i="10"/>
  <c r="U148" i="10"/>
  <c r="W148" i="10"/>
  <c r="S151" i="10"/>
  <c r="U154" i="10"/>
  <c r="U156" i="10"/>
  <c r="U158" i="10"/>
  <c r="W158" i="10"/>
  <c r="S161" i="10"/>
  <c r="U164" i="10"/>
  <c r="U166" i="10"/>
  <c r="U168" i="10"/>
  <c r="W168" i="10"/>
  <c r="S171" i="10"/>
  <c r="U174" i="10"/>
  <c r="U176" i="10"/>
  <c r="U178" i="10"/>
  <c r="W178" i="10"/>
  <c r="S181" i="10"/>
  <c r="U184" i="10"/>
  <c r="U186" i="10"/>
  <c r="U188" i="10"/>
  <c r="W188" i="10"/>
  <c r="K11" i="10"/>
  <c r="M14" i="10"/>
  <c r="M16" i="10"/>
  <c r="M18" i="10"/>
  <c r="O18" i="10"/>
  <c r="K21" i="10"/>
  <c r="M24" i="10"/>
  <c r="M26" i="10"/>
  <c r="M28" i="10"/>
  <c r="O28" i="10"/>
  <c r="K31" i="10"/>
  <c r="M34" i="10"/>
  <c r="M36" i="10"/>
  <c r="M38" i="10"/>
  <c r="O38" i="10"/>
  <c r="K41" i="10"/>
  <c r="M44" i="10"/>
  <c r="M46" i="10"/>
  <c r="M48" i="10"/>
  <c r="O48" i="10"/>
  <c r="K51" i="10"/>
  <c r="M54" i="10"/>
  <c r="M56" i="10"/>
  <c r="M58" i="10"/>
  <c r="O58" i="10"/>
  <c r="K61" i="10"/>
  <c r="M64" i="10"/>
  <c r="M66" i="10"/>
  <c r="M68" i="10"/>
  <c r="K71" i="10"/>
  <c r="M74" i="10"/>
  <c r="M76" i="10"/>
  <c r="M78" i="10"/>
  <c r="O78" i="10"/>
  <c r="K81" i="10"/>
  <c r="M84" i="10"/>
  <c r="M86" i="10"/>
  <c r="M88" i="10"/>
  <c r="O88" i="10"/>
  <c r="K91" i="10"/>
  <c r="M94" i="10"/>
  <c r="M96" i="10"/>
  <c r="M98" i="10"/>
  <c r="O98" i="10"/>
  <c r="K101" i="10"/>
  <c r="M104" i="10"/>
  <c r="M106" i="10"/>
  <c r="M108" i="10"/>
  <c r="O108" i="10"/>
  <c r="K111" i="10"/>
  <c r="M114" i="10"/>
  <c r="M116" i="10"/>
  <c r="M118" i="10"/>
  <c r="O118" i="10"/>
  <c r="K121" i="10"/>
  <c r="M124" i="10"/>
  <c r="M126" i="10"/>
  <c r="M128" i="10"/>
  <c r="O128" i="10"/>
  <c r="K131" i="10"/>
  <c r="M134" i="10"/>
  <c r="M136" i="10"/>
  <c r="M138" i="10"/>
  <c r="O138" i="10"/>
  <c r="K141" i="10"/>
  <c r="M144" i="10"/>
  <c r="M146" i="10"/>
  <c r="M148" i="10"/>
  <c r="O148" i="10"/>
  <c r="K151" i="10"/>
  <c r="M154" i="10"/>
  <c r="M156" i="10"/>
  <c r="M158" i="10"/>
  <c r="O158" i="10"/>
  <c r="K161" i="10"/>
  <c r="M164" i="10"/>
  <c r="M166" i="10"/>
  <c r="M168" i="10"/>
  <c r="O168" i="10"/>
  <c r="K171" i="10"/>
  <c r="M174" i="10"/>
  <c r="M176" i="10"/>
  <c r="M178" i="10"/>
  <c r="O178" i="10"/>
  <c r="K181" i="10"/>
  <c r="M184" i="10"/>
  <c r="M186" i="10"/>
  <c r="M188" i="10"/>
  <c r="O188" i="10"/>
  <c r="W8" i="10"/>
  <c r="U8" i="10"/>
  <c r="U6" i="10"/>
  <c r="S1" i="10"/>
  <c r="K1" i="10"/>
  <c r="O8" i="10"/>
  <c r="M4" i="10"/>
  <c r="E21" i="10" l="1"/>
  <c r="E141" i="10"/>
  <c r="E161" i="10"/>
  <c r="E81" i="10"/>
  <c r="E51" i="10"/>
  <c r="E101" i="10"/>
  <c r="E171" i="10"/>
  <c r="E151" i="10"/>
  <c r="E131" i="10"/>
  <c r="E111" i="10"/>
  <c r="E91" i="10"/>
  <c r="E71" i="10"/>
  <c r="U21" i="10"/>
  <c r="E121" i="10"/>
  <c r="E61" i="10"/>
  <c r="E31" i="10"/>
  <c r="E41" i="10"/>
  <c r="E11" i="10"/>
  <c r="M101" i="10"/>
  <c r="M61" i="10"/>
  <c r="U171" i="10"/>
  <c r="U111" i="10"/>
  <c r="U11" i="10"/>
  <c r="M181" i="10"/>
  <c r="U71" i="10"/>
  <c r="M161" i="10"/>
  <c r="U51" i="10"/>
  <c r="M121" i="10"/>
  <c r="U91" i="10"/>
  <c r="M141" i="10"/>
  <c r="M21" i="10"/>
  <c r="U151" i="10"/>
  <c r="U31" i="10"/>
  <c r="M81" i="10"/>
  <c r="M41" i="10"/>
  <c r="U131" i="10"/>
  <c r="U1" i="10"/>
  <c r="M131" i="10"/>
  <c r="U121" i="10"/>
  <c r="M171" i="10"/>
  <c r="M151" i="10"/>
  <c r="M111" i="10"/>
  <c r="M91" i="10"/>
  <c r="M71" i="10"/>
  <c r="M51" i="10"/>
  <c r="M31" i="10"/>
  <c r="M11" i="10"/>
  <c r="U181" i="10"/>
  <c r="U161" i="10"/>
  <c r="U141" i="10"/>
  <c r="U101" i="10"/>
  <c r="U81" i="10"/>
  <c r="U61" i="10"/>
  <c r="U41" i="10"/>
  <c r="L14" i="2" l="1"/>
  <c r="L16" i="2"/>
  <c r="L18" i="2"/>
  <c r="L10" i="2"/>
  <c r="L12" i="2"/>
  <c r="F18" i="2"/>
  <c r="D18" i="2"/>
  <c r="A18" i="2"/>
  <c r="D16" i="2"/>
  <c r="A16" i="2"/>
  <c r="F14" i="2"/>
  <c r="D14" i="2"/>
  <c r="A14" i="2"/>
  <c r="F12" i="2"/>
  <c r="D12" i="2"/>
  <c r="A12" i="2"/>
  <c r="F10" i="2"/>
  <c r="D10" i="2"/>
  <c r="A10" i="2"/>
  <c r="A10" i="3"/>
  <c r="A12" i="3"/>
  <c r="A14" i="3"/>
  <c r="A16" i="3"/>
  <c r="A18" i="3"/>
  <c r="D10" i="3"/>
  <c r="D18" i="3"/>
  <c r="D16" i="3"/>
  <c r="D14" i="3"/>
  <c r="D12" i="3"/>
  <c r="F10" i="3"/>
  <c r="F12" i="3"/>
  <c r="F14" i="3"/>
  <c r="F16" i="3"/>
  <c r="F18" i="3"/>
  <c r="L10" i="3"/>
  <c r="L12" i="3"/>
  <c r="L14" i="3"/>
  <c r="L16" i="3"/>
  <c r="L18" i="3"/>
  <c r="F8" i="2" l="1"/>
  <c r="D8" i="2"/>
  <c r="M10" i="2"/>
  <c r="F8" i="3"/>
  <c r="M14" i="2"/>
  <c r="M14" i="3"/>
  <c r="D8" i="3"/>
  <c r="M10" i="3"/>
  <c r="A8" i="3"/>
  <c r="A8" i="2"/>
  <c r="H21" i="2" l="1"/>
  <c r="E8" i="2"/>
  <c r="J8" i="3"/>
  <c r="E8" i="3"/>
  <c r="J8" i="2"/>
  <c r="H21" i="3"/>
</calcChain>
</file>

<file path=xl/sharedStrings.xml><?xml version="1.0" encoding="utf-8"?>
<sst xmlns="http://schemas.openxmlformats.org/spreadsheetml/2006/main" count="851" uniqueCount="261">
  <si>
    <t>DATA</t>
  </si>
  <si>
    <t>QTD</t>
  </si>
  <si>
    <t>VIAGEM</t>
  </si>
  <si>
    <t>EMPRESA</t>
  </si>
  <si>
    <t>TIPO</t>
  </si>
  <si>
    <t>PLACA</t>
  </si>
  <si>
    <t>NOTA F.</t>
  </si>
  <si>
    <t>FROTA</t>
  </si>
  <si>
    <t>PESO</t>
  </si>
  <si>
    <t>OPERAÇÃO</t>
  </si>
  <si>
    <t>BELEM / MANAUS</t>
  </si>
  <si>
    <t>Carga</t>
  </si>
  <si>
    <t>CARREGADA</t>
  </si>
  <si>
    <t>CARRETA</t>
  </si>
  <si>
    <t>RACK</t>
  </si>
  <si>
    <t>MAPA DE EMBARQUE</t>
  </si>
  <si>
    <t>POPA</t>
  </si>
  <si>
    <t>PESO TOTAL</t>
  </si>
  <si>
    <t>A</t>
  </si>
  <si>
    <t>B</t>
  </si>
  <si>
    <t>C</t>
  </si>
  <si>
    <t>D</t>
  </si>
  <si>
    <t>E</t>
  </si>
  <si>
    <t>PROA</t>
  </si>
  <si>
    <t>JADE</t>
  </si>
  <si>
    <t>DIVERSOS</t>
  </si>
  <si>
    <t>GOI</t>
  </si>
  <si>
    <t>MÊS</t>
  </si>
  <si>
    <t>CARGA</t>
  </si>
  <si>
    <t>BEL</t>
  </si>
  <si>
    <t>CPV</t>
  </si>
  <si>
    <t>GOLD BRASIL</t>
  </si>
  <si>
    <t>LSL</t>
  </si>
  <si>
    <t>SW Rotterdam</t>
  </si>
  <si>
    <t>CONF. VII</t>
  </si>
  <si>
    <t xml:space="preserve">CBT RACK </t>
  </si>
  <si>
    <t>JXH-1585</t>
  </si>
  <si>
    <t xml:space="preserve">Elaborado por: Encarregado da Expedição </t>
  </si>
  <si>
    <t>Data da Finalização: _____/_____/_____</t>
  </si>
  <si>
    <t>Executor / Aprovador: __________________________________________________</t>
  </si>
  <si>
    <t>(vazio)</t>
  </si>
  <si>
    <t>Total Geral</t>
  </si>
  <si>
    <t>ADISBEL</t>
  </si>
  <si>
    <t>Registro da Qualidade emitido em: 01/07/2016</t>
  </si>
  <si>
    <t>UNILOG</t>
  </si>
  <si>
    <t>REBOUÇAS</t>
  </si>
  <si>
    <t>COMBITRANS / LSL</t>
  </si>
  <si>
    <t>BOA VISTA ALIMENTOS</t>
  </si>
  <si>
    <t>NJ DISTRIBUIÇÃO</t>
  </si>
  <si>
    <t>OVER TRUCK</t>
  </si>
  <si>
    <t>EXATA CARGO</t>
  </si>
  <si>
    <t>TRANSAGUIAR</t>
  </si>
  <si>
    <t>BORESTE</t>
  </si>
  <si>
    <t>TRANSPESADO</t>
  </si>
  <si>
    <t>RAMDREL</t>
  </si>
  <si>
    <t>YARA / JAYORO</t>
  </si>
  <si>
    <t>MUNDIAL</t>
  </si>
  <si>
    <t>ALEX MUSSI</t>
  </si>
  <si>
    <t>RODOVITOR</t>
  </si>
  <si>
    <t>CLU-9614</t>
  </si>
  <si>
    <t>246174 / 246185</t>
  </si>
  <si>
    <t>5740 / 20 PALETES</t>
  </si>
  <si>
    <t>LZB-9412</t>
  </si>
  <si>
    <t>246188 / 246189</t>
  </si>
  <si>
    <t>BXB-8212</t>
  </si>
  <si>
    <t>246176 / 246186</t>
  </si>
  <si>
    <t>QDA-9384</t>
  </si>
  <si>
    <t>246224 / 246225</t>
  </si>
  <si>
    <t>2996 / 28 PALETES</t>
  </si>
  <si>
    <t>QEN-9001</t>
  </si>
  <si>
    <t>246226 / 246227</t>
  </si>
  <si>
    <t>8036 / 28 PALETES</t>
  </si>
  <si>
    <t>JVL-5764</t>
  </si>
  <si>
    <t>246243 / 246244</t>
  </si>
  <si>
    <t>10220 / 28 PALETES</t>
  </si>
  <si>
    <t>NWX-6345</t>
  </si>
  <si>
    <t>234973 / 234974</t>
  </si>
  <si>
    <t>20184 / 24 PALETES</t>
  </si>
  <si>
    <t>DVS-4283</t>
  </si>
  <si>
    <t>NGK-5994</t>
  </si>
  <si>
    <t>NGK-6074</t>
  </si>
  <si>
    <t>NKE-7134</t>
  </si>
  <si>
    <t>NFL-3104</t>
  </si>
  <si>
    <t>NGE-4776</t>
  </si>
  <si>
    <t>CUE-1262</t>
  </si>
  <si>
    <t>CUE-1263</t>
  </si>
  <si>
    <t>EJW-8421</t>
  </si>
  <si>
    <t>Y-6003</t>
  </si>
  <si>
    <t>MXG-8386</t>
  </si>
  <si>
    <t>247019 / 247020</t>
  </si>
  <si>
    <t>30604 / 28 PALETES</t>
  </si>
  <si>
    <t>247008 a 247015</t>
  </si>
  <si>
    <t>4004 / 20 PALETES</t>
  </si>
  <si>
    <t>247021 / 247022</t>
  </si>
  <si>
    <t>8288 / 28 PALETES</t>
  </si>
  <si>
    <t>247028 / 247029</t>
  </si>
  <si>
    <t>247024 a 247027</t>
  </si>
  <si>
    <t>3976 / 20 PALETES</t>
  </si>
  <si>
    <t>2111 / MTO: 650</t>
  </si>
  <si>
    <t>82 + 54</t>
  </si>
  <si>
    <t>1271 / MTO: 118</t>
  </si>
  <si>
    <t>NKX-8464</t>
  </si>
  <si>
    <t>OFN-2750</t>
  </si>
  <si>
    <t>34 / 2625</t>
  </si>
  <si>
    <t>PLACAS</t>
  </si>
  <si>
    <t>MDF/DANFE</t>
  </si>
  <si>
    <t>QDE</t>
  </si>
  <si>
    <t>PEÇAS</t>
  </si>
  <si>
    <t>COOPERCARGA</t>
  </si>
  <si>
    <t>TIM TRANSPORTES</t>
  </si>
  <si>
    <t>KEILA</t>
  </si>
  <si>
    <t>DPB-3921</t>
  </si>
  <si>
    <t>SUZANO</t>
  </si>
  <si>
    <t>BATIDA</t>
  </si>
  <si>
    <t>PALETES</t>
  </si>
  <si>
    <t>18 PALETES</t>
  </si>
  <si>
    <t>GAB TRANSPORTES</t>
  </si>
  <si>
    <t xml:space="preserve"> BBT TRANSPORTES</t>
  </si>
  <si>
    <t>BAGS</t>
  </si>
  <si>
    <t>TRANSGATÃO</t>
  </si>
  <si>
    <t>balsa</t>
  </si>
  <si>
    <t>L</t>
  </si>
  <si>
    <t>LB</t>
  </si>
  <si>
    <t>Y</t>
  </si>
  <si>
    <t>V</t>
  </si>
  <si>
    <t>AN</t>
  </si>
  <si>
    <t>S</t>
  </si>
  <si>
    <t>O</t>
  </si>
  <si>
    <t>T</t>
  </si>
  <si>
    <t>R</t>
  </si>
  <si>
    <t>X</t>
  </si>
  <si>
    <t>Viagem</t>
  </si>
  <si>
    <t>MDF/DANFE/MTO</t>
  </si>
  <si>
    <t>QUANTIDADE PALETES</t>
  </si>
  <si>
    <t>TBL LV</t>
  </si>
  <si>
    <t>BARCELONA</t>
  </si>
  <si>
    <t>YOKOHAMA</t>
  </si>
  <si>
    <t>VALENCIA</t>
  </si>
  <si>
    <t>ANTUERPIA</t>
  </si>
  <si>
    <t>SINGAPUR</t>
  </si>
  <si>
    <t>OSAKA</t>
  </si>
  <si>
    <t>TOKYO</t>
  </si>
  <si>
    <t>DUBAI</t>
  </si>
  <si>
    <t>ROTTERDAM</t>
  </si>
  <si>
    <t>LOS ANGELES</t>
  </si>
  <si>
    <t>XANGAI</t>
  </si>
  <si>
    <t>LISBOA</t>
  </si>
  <si>
    <t>OSLO</t>
  </si>
  <si>
    <t>TBL XXXV</t>
  </si>
  <si>
    <t>OS</t>
  </si>
  <si>
    <t>PROXIMA</t>
  </si>
  <si>
    <t>DPB-3968</t>
  </si>
  <si>
    <t>2223 / MTO: 1145</t>
  </si>
  <si>
    <t>2224 / MTO: 1146</t>
  </si>
  <si>
    <t>2225 / MTO: 1147</t>
  </si>
  <si>
    <t>84+985</t>
  </si>
  <si>
    <t>JXQ-7688</t>
  </si>
  <si>
    <t>3766 / MTO: 20872</t>
  </si>
  <si>
    <t>OWH-6482</t>
  </si>
  <si>
    <t>1182 / MTO: 8778</t>
  </si>
  <si>
    <t>STC-9G73 (B)</t>
  </si>
  <si>
    <t>810 / MTO: 20892</t>
  </si>
  <si>
    <t>SWG-5H05 (B)</t>
  </si>
  <si>
    <t>811 / 3770 / MTO: 20892</t>
  </si>
  <si>
    <t>SWB-3E88 (B)</t>
  </si>
  <si>
    <t>816 / 817 / MTO: 20921</t>
  </si>
  <si>
    <t>SUS-5I51 (B)</t>
  </si>
  <si>
    <t>991 / 992 / MTO: 20921</t>
  </si>
  <si>
    <t>PHZ-3E32 (B)</t>
  </si>
  <si>
    <t>1263 / MTO: 20893</t>
  </si>
  <si>
    <t>PHZ-3E62 (B)</t>
  </si>
  <si>
    <t>1264 / 3769 / MTO: 20893</t>
  </si>
  <si>
    <t>GBN-2J64 (B)</t>
  </si>
  <si>
    <t>2163 / MTO: 20917</t>
  </si>
  <si>
    <t>NSZ-3155 (B)</t>
  </si>
  <si>
    <t>1548 / 2164 / MTO: 20917</t>
  </si>
  <si>
    <t>CVP-9J84</t>
  </si>
  <si>
    <t>3768 / MTO: 20873</t>
  </si>
  <si>
    <t>DAJ-0225</t>
  </si>
  <si>
    <t>3772 / MTO: 20894</t>
  </si>
  <si>
    <t>LVL-7231</t>
  </si>
  <si>
    <t>1183 / MTO: 8776</t>
  </si>
  <si>
    <t>2167 / MTO:4375</t>
  </si>
  <si>
    <t>PHZ-3D42 (B)</t>
  </si>
  <si>
    <t>989 / MTO: 8027</t>
  </si>
  <si>
    <t>79+126</t>
  </si>
  <si>
    <t>PHZ-3E82 (B)</t>
  </si>
  <si>
    <t>990 / MTO: 8027</t>
  </si>
  <si>
    <t>RUK-7G48 (B)</t>
  </si>
  <si>
    <t>RUK-7G51 (B)</t>
  </si>
  <si>
    <t>UAI-4C71 (B)</t>
  </si>
  <si>
    <t>UAI-4C69 (B)</t>
  </si>
  <si>
    <t>GHQ-4775</t>
  </si>
  <si>
    <t>QVC--0653</t>
  </si>
  <si>
    <t>JUR-4C34</t>
  </si>
  <si>
    <t>AGY-0141</t>
  </si>
  <si>
    <t>AYN-7D30 (B)</t>
  </si>
  <si>
    <t>AYN-7D28 (B)</t>
  </si>
  <si>
    <t>MOP-0343 (B)</t>
  </si>
  <si>
    <t>MOP-0393 (B)</t>
  </si>
  <si>
    <t>ARL-6537</t>
  </si>
  <si>
    <t>OQE-0776 (B)</t>
  </si>
  <si>
    <t>11435/11436/11437/11438</t>
  </si>
  <si>
    <t>QOE-0774 (B)</t>
  </si>
  <si>
    <t>NCP-5A98</t>
  </si>
  <si>
    <t>PQC-9I43 (B)</t>
  </si>
  <si>
    <t>18105 / 18106</t>
  </si>
  <si>
    <t>PQC-9J73 (B)</t>
  </si>
  <si>
    <t>LZB-5240</t>
  </si>
  <si>
    <t>18 PLTS + 01 CX</t>
  </si>
  <si>
    <t>PBR-3969</t>
  </si>
  <si>
    <t>GGJ-3A82</t>
  </si>
  <si>
    <t>GGA-2H61</t>
  </si>
  <si>
    <t>IVN-3121</t>
  </si>
  <si>
    <t>FMJ-2I66</t>
  </si>
  <si>
    <t>NUK-7777</t>
  </si>
  <si>
    <t>GIVOVA</t>
  </si>
  <si>
    <t>FSM-0J85</t>
  </si>
  <si>
    <t>COCO &amp; CIA</t>
  </si>
  <si>
    <t>HBG-6I66</t>
  </si>
  <si>
    <t>1051066 A 1051070</t>
  </si>
  <si>
    <t>JOSAPAR</t>
  </si>
  <si>
    <t>DJB-0470 (B)</t>
  </si>
  <si>
    <t>1578 / 1579</t>
  </si>
  <si>
    <t>DJB-0480 (B)</t>
  </si>
  <si>
    <t>OYB-0I39</t>
  </si>
  <si>
    <t>MSO-8B85</t>
  </si>
  <si>
    <t>35 PALETES</t>
  </si>
  <si>
    <t>COMPANHIA C. P.</t>
  </si>
  <si>
    <t>MLZ-8555 (B)</t>
  </si>
  <si>
    <t>648850 / 648851</t>
  </si>
  <si>
    <t>MLZ 9085 (B)</t>
  </si>
  <si>
    <t>MLF-0205 (B)</t>
  </si>
  <si>
    <t>649453 / 649454</t>
  </si>
  <si>
    <t>MLF-0065 (B)</t>
  </si>
  <si>
    <t>CIMAR CIMENTOS</t>
  </si>
  <si>
    <t>AGM-7E59</t>
  </si>
  <si>
    <t>VENCEMOS</t>
  </si>
  <si>
    <t>QVO-3F68 (B)</t>
  </si>
  <si>
    <t>QVO-3F08 (B)</t>
  </si>
  <si>
    <t>DBC-4946</t>
  </si>
  <si>
    <t>CXA-6E02</t>
  </si>
  <si>
    <t>SIDERTRANS</t>
  </si>
  <si>
    <t>SIZ-6C99</t>
  </si>
  <si>
    <t>19617 / 16761</t>
  </si>
  <si>
    <t>MAQUINA</t>
  </si>
  <si>
    <t>ESCAVADEIRA</t>
  </si>
  <si>
    <t>19617 / 16711</t>
  </si>
  <si>
    <t>19617 /16708</t>
  </si>
  <si>
    <t>RIE-7A88</t>
  </si>
  <si>
    <t>CR TRANSPORTES</t>
  </si>
  <si>
    <t>RDC-4601</t>
  </si>
  <si>
    <t>E R DA SILVA</t>
  </si>
  <si>
    <t>OTI-1D47</t>
  </si>
  <si>
    <t>SCAPINI</t>
  </si>
  <si>
    <t>MMB-9874</t>
  </si>
  <si>
    <t>PHZ-3E82</t>
  </si>
  <si>
    <t>CBT/RACK</t>
  </si>
  <si>
    <t>SW TOKIO</t>
  </si>
  <si>
    <t>T-8255</t>
  </si>
  <si>
    <t>TMI-7D43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</si>
</sst>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  <numFmt numFmtId="165" formatCode="00"/>
    <numFmt numFmtId="166" formatCode="d/m/yy\ h:mm;@"/>
    <numFmt numFmtId="167" formatCode="0.000"/>
    <numFmt numFmtId="168" formatCode="&quot;TOTAL&quot;\ \ \ General"/>
    <numFmt numFmtId="169" formatCode="&quot;TOTAL&quot;\ General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22"/>
      <name val="Arial"/>
      <family val="2"/>
    </font>
    <font>
      <b/>
      <sz val="9"/>
      <color indexed="16"/>
      <name val="Times New Roman"/>
      <family val="1"/>
    </font>
    <font>
      <sz val="9"/>
      <color indexed="18"/>
      <name val="Times New Roman"/>
      <family val="1"/>
    </font>
    <font>
      <b/>
      <sz val="9"/>
      <color indexed="18"/>
      <name val="Times New Roman"/>
      <family val="1"/>
    </font>
    <font>
      <sz val="9"/>
      <color indexed="57"/>
      <name val="Times New Roman"/>
      <family val="1"/>
    </font>
    <font>
      <b/>
      <sz val="9"/>
      <color indexed="57"/>
      <name val="Times New Roman"/>
      <family val="1"/>
    </font>
    <font>
      <sz val="20"/>
      <name val="Arial"/>
      <family val="2"/>
    </font>
    <font>
      <b/>
      <sz val="10"/>
      <color indexed="1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7"/>
      <name val="Arial Black"/>
      <family val="2"/>
    </font>
    <font>
      <b/>
      <sz val="24"/>
      <name val="Arial Black"/>
      <family val="2"/>
    </font>
    <font>
      <b/>
      <sz val="22"/>
      <color theme="0"/>
      <name val="Arial Black"/>
      <family val="2"/>
    </font>
    <font>
      <b/>
      <sz val="24"/>
      <color theme="1"/>
      <name val="Arial Black"/>
      <family val="2"/>
    </font>
    <font>
      <b/>
      <sz val="7"/>
      <color theme="1"/>
      <name val="Arial Black"/>
      <family val="2"/>
    </font>
    <font>
      <sz val="30"/>
      <color theme="1"/>
      <name val="Arial Black"/>
      <family val="2"/>
    </font>
    <font>
      <sz val="11"/>
      <color theme="0"/>
      <name val="Arial Black"/>
      <family val="2"/>
    </font>
    <font>
      <b/>
      <sz val="45"/>
      <color theme="1"/>
      <name val="Arial Black"/>
      <family val="2"/>
    </font>
    <font>
      <sz val="11"/>
      <color indexed="8"/>
      <name val="Calibri"/>
      <family val="2"/>
    </font>
    <font>
      <b/>
      <sz val="26"/>
      <name val="Arial Black"/>
      <family val="2"/>
    </font>
    <font>
      <b/>
      <sz val="2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8"/>
      <color theme="1"/>
      <name val="Arial Black"/>
      <family val="2"/>
    </font>
    <font>
      <sz val="11"/>
      <color theme="1" tint="0.499984740745262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2"/>
      <color theme="0"/>
      <name val="Arial Black"/>
      <family val="2"/>
    </font>
    <font>
      <b/>
      <sz val="12"/>
      <color theme="1"/>
      <name val="Arial Black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23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9" fillId="2" borderId="5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164" fontId="9" fillId="2" borderId="0" xfId="0" applyNumberFormat="1" applyFont="1" applyFill="1" applyAlignment="1">
      <alignment horizontal="right" vertical="center"/>
    </xf>
    <xf numFmtId="164" fontId="9" fillId="2" borderId="5" xfId="0" applyNumberFormat="1" applyFont="1" applyFill="1" applyBorder="1" applyAlignment="1">
      <alignment vertical="center"/>
    </xf>
    <xf numFmtId="0" fontId="9" fillId="2" borderId="0" xfId="0" applyFont="1" applyFill="1"/>
    <xf numFmtId="0" fontId="0" fillId="2" borderId="6" xfId="0" applyFill="1" applyBorder="1"/>
    <xf numFmtId="0" fontId="0" fillId="2" borderId="7" xfId="0" applyFill="1" applyBorder="1"/>
    <xf numFmtId="0" fontId="9" fillId="2" borderId="7" xfId="0" applyFont="1" applyFill="1" applyBorder="1" applyAlignment="1">
      <alignment horizontal="left" vertical="center"/>
    </xf>
    <xf numFmtId="0" fontId="0" fillId="2" borderId="8" xfId="0" applyFill="1" applyBorder="1"/>
    <xf numFmtId="167" fontId="0" fillId="2" borderId="0" xfId="0" applyNumberFormat="1" applyFill="1" applyAlignment="1">
      <alignment vertical="top"/>
    </xf>
    <xf numFmtId="0" fontId="0" fillId="2" borderId="0" xfId="0" applyFill="1" applyAlignment="1">
      <alignment vertical="top"/>
    </xf>
    <xf numFmtId="167" fontId="0" fillId="2" borderId="0" xfId="0" applyNumberFormat="1" applyFill="1" applyAlignment="1">
      <alignment horizontal="center" vertical="top"/>
    </xf>
    <xf numFmtId="11" fontId="0" fillId="2" borderId="0" xfId="0" applyNumberFormat="1" applyFill="1" applyAlignment="1">
      <alignment horizontal="center" vertical="top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10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167" fontId="0" fillId="0" borderId="0" xfId="0" applyNumberFormat="1" applyAlignment="1">
      <alignment horizontal="center" vertical="top"/>
    </xf>
    <xf numFmtId="167" fontId="0" fillId="0" borderId="0" xfId="0" applyNumberFormat="1"/>
    <xf numFmtId="169" fontId="17" fillId="0" borderId="0" xfId="0" applyNumberFormat="1" applyFont="1" applyAlignment="1">
      <alignment horizontal="center" vertical="center" textRotation="90"/>
    </xf>
    <xf numFmtId="49" fontId="18" fillId="0" borderId="0" xfId="0" applyNumberFormat="1" applyFont="1" applyAlignment="1">
      <alignment horizontal="center" vertical="top" wrapText="1"/>
    </xf>
    <xf numFmtId="0" fontId="0" fillId="0" borderId="0" xfId="0" applyAlignment="1">
      <alignment vertical="top"/>
    </xf>
    <xf numFmtId="0" fontId="19" fillId="2" borderId="0" xfId="0" applyFont="1" applyFill="1" applyAlignment="1">
      <alignment vertical="top"/>
    </xf>
    <xf numFmtId="167" fontId="9" fillId="2" borderId="0" xfId="0" applyNumberFormat="1" applyFont="1" applyFill="1" applyAlignment="1">
      <alignment horizontal="center" vertical="top"/>
    </xf>
    <xf numFmtId="167" fontId="20" fillId="2" borderId="0" xfId="0" applyNumberFormat="1" applyFont="1" applyFill="1" applyAlignment="1">
      <alignment horizontal="center"/>
    </xf>
    <xf numFmtId="167" fontId="20" fillId="2" borderId="0" xfId="0" applyNumberFormat="1" applyFont="1" applyFill="1" applyAlignment="1">
      <alignment horizontal="center" vertical="top"/>
    </xf>
    <xf numFmtId="167" fontId="12" fillId="3" borderId="10" xfId="0" applyNumberFormat="1" applyFont="1" applyFill="1" applyBorder="1" applyAlignment="1" applyProtection="1">
      <alignment horizontal="center" vertical="top"/>
      <protection locked="0"/>
    </xf>
    <xf numFmtId="167" fontId="14" fillId="4" borderId="10" xfId="0" applyNumberFormat="1" applyFont="1" applyFill="1" applyBorder="1" applyAlignment="1" applyProtection="1">
      <alignment horizontal="center" vertical="top"/>
      <protection locked="0"/>
    </xf>
    <xf numFmtId="167" fontId="16" fillId="5" borderId="10" xfId="0" applyNumberFormat="1" applyFont="1" applyFill="1" applyBorder="1" applyAlignment="1" applyProtection="1">
      <alignment horizontal="center" vertical="top"/>
      <protection locked="0"/>
    </xf>
    <xf numFmtId="167" fontId="12" fillId="6" borderId="10" xfId="0" applyNumberFormat="1" applyFont="1" applyFill="1" applyBorder="1" applyAlignment="1" applyProtection="1">
      <alignment horizontal="center" vertical="top"/>
      <protection locked="0"/>
    </xf>
    <xf numFmtId="49" fontId="12" fillId="3" borderId="11" xfId="0" applyNumberFormat="1" applyFont="1" applyFill="1" applyBorder="1" applyAlignment="1" applyProtection="1">
      <alignment horizontal="center" vertical="center" wrapText="1"/>
      <protection locked="0"/>
    </xf>
    <xf numFmtId="49" fontId="14" fillId="4" borderId="12" xfId="0" applyNumberFormat="1" applyFont="1" applyFill="1" applyBorder="1" applyAlignment="1" applyProtection="1">
      <alignment horizontal="center" vertical="center" wrapText="1"/>
      <protection locked="0"/>
    </xf>
    <xf numFmtId="49" fontId="16" fillId="5" borderId="11" xfId="0" applyNumberFormat="1" applyFont="1" applyFill="1" applyBorder="1" applyAlignment="1" applyProtection="1">
      <alignment horizontal="center" vertical="center" wrapText="1"/>
      <protection locked="0"/>
    </xf>
    <xf numFmtId="167" fontId="12" fillId="6" borderId="11" xfId="0" applyNumberFormat="1" applyFont="1" applyFill="1" applyBorder="1" applyAlignment="1" applyProtection="1">
      <alignment horizontal="center" vertical="center" wrapText="1"/>
      <protection locked="0"/>
    </xf>
    <xf numFmtId="167" fontId="12" fillId="6" borderId="10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0" xfId="0" applyNumberFormat="1" applyFont="1" applyFill="1" applyBorder="1" applyAlignment="1">
      <alignment horizontal="center" vertical="top"/>
    </xf>
    <xf numFmtId="49" fontId="13" fillId="2" borderId="11" xfId="0" applyNumberFormat="1" applyFont="1" applyFill="1" applyBorder="1" applyAlignment="1">
      <alignment horizontal="center" vertical="top" wrapText="1"/>
    </xf>
    <xf numFmtId="49" fontId="13" fillId="2" borderId="13" xfId="0" applyNumberFormat="1" applyFont="1" applyFill="1" applyBorder="1" applyAlignment="1">
      <alignment horizontal="center" vertical="top" wrapText="1"/>
    </xf>
    <xf numFmtId="167" fontId="15" fillId="2" borderId="10" xfId="0" applyNumberFormat="1" applyFont="1" applyFill="1" applyBorder="1" applyAlignment="1">
      <alignment horizontal="center" vertical="top"/>
    </xf>
    <xf numFmtId="49" fontId="15" fillId="2" borderId="11" xfId="0" applyNumberFormat="1" applyFont="1" applyFill="1" applyBorder="1" applyAlignment="1">
      <alignment horizontal="center" vertical="top" wrapText="1"/>
    </xf>
    <xf numFmtId="49" fontId="15" fillId="2" borderId="13" xfId="0" applyNumberFormat="1" applyFont="1" applyFill="1" applyBorder="1" applyAlignment="1">
      <alignment horizontal="center" vertical="top" wrapText="1"/>
    </xf>
    <xf numFmtId="49" fontId="12" fillId="3" borderId="14" xfId="0" applyNumberFormat="1" applyFont="1" applyFill="1" applyBorder="1" applyAlignment="1" applyProtection="1">
      <alignment horizontal="center" vertical="center" wrapText="1"/>
      <protection locked="0"/>
    </xf>
    <xf numFmtId="167" fontId="12" fillId="3" borderId="17" xfId="0" applyNumberFormat="1" applyFont="1" applyFill="1" applyBorder="1" applyAlignment="1" applyProtection="1">
      <alignment horizontal="center" vertical="top"/>
      <protection locked="0"/>
    </xf>
    <xf numFmtId="167" fontId="13" fillId="2" borderId="17" xfId="0" applyNumberFormat="1" applyFont="1" applyFill="1" applyBorder="1" applyAlignment="1">
      <alignment horizontal="center" vertical="top"/>
    </xf>
    <xf numFmtId="167" fontId="14" fillId="4" borderId="17" xfId="0" applyNumberFormat="1" applyFont="1" applyFill="1" applyBorder="1" applyAlignment="1" applyProtection="1">
      <alignment horizontal="center" vertical="top"/>
      <protection locked="0"/>
    </xf>
    <xf numFmtId="167" fontId="15" fillId="2" borderId="17" xfId="0" applyNumberFormat="1" applyFont="1" applyFill="1" applyBorder="1" applyAlignment="1">
      <alignment horizontal="center" vertical="top"/>
    </xf>
    <xf numFmtId="167" fontId="16" fillId="5" borderId="17" xfId="0" applyNumberFormat="1" applyFont="1" applyFill="1" applyBorder="1" applyAlignment="1" applyProtection="1">
      <alignment horizontal="center" vertical="top"/>
      <protection locked="0"/>
    </xf>
    <xf numFmtId="167" fontId="12" fillId="6" borderId="17" xfId="0" applyNumberFormat="1" applyFont="1" applyFill="1" applyBorder="1" applyAlignment="1" applyProtection="1">
      <alignment horizontal="center" vertical="top"/>
      <protection locked="0"/>
    </xf>
    <xf numFmtId="164" fontId="8" fillId="7" borderId="9" xfId="0" applyNumberFormat="1" applyFont="1" applyFill="1" applyBorder="1" applyAlignment="1" applyProtection="1">
      <alignment horizontal="center" vertical="center"/>
      <protection locked="0"/>
    </xf>
    <xf numFmtId="0" fontId="8" fillId="7" borderId="9" xfId="0" applyFont="1" applyFill="1" applyBorder="1" applyAlignment="1" applyProtection="1">
      <alignment horizontal="center" vertical="center"/>
      <protection locked="0"/>
    </xf>
    <xf numFmtId="165" fontId="8" fillId="7" borderId="9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/>
    <xf numFmtId="164" fontId="9" fillId="7" borderId="19" xfId="0" applyNumberFormat="1" applyFont="1" applyFill="1" applyBorder="1" applyAlignment="1" applyProtection="1">
      <alignment horizontal="center" vertical="center"/>
      <protection locked="0"/>
    </xf>
    <xf numFmtId="0" fontId="9" fillId="7" borderId="19" xfId="0" applyFont="1" applyFill="1" applyBorder="1" applyAlignment="1" applyProtection="1">
      <alignment horizontal="center" vertical="center"/>
      <protection locked="0"/>
    </xf>
    <xf numFmtId="165" fontId="9" fillId="7" borderId="7" xfId="0" applyNumberFormat="1" applyFont="1" applyFill="1" applyBorder="1" applyAlignment="1" applyProtection="1">
      <alignment horizontal="center" vertical="center"/>
      <protection locked="0"/>
    </xf>
    <xf numFmtId="165" fontId="9" fillId="7" borderId="19" xfId="0" applyNumberFormat="1" applyFont="1" applyFill="1" applyBorder="1" applyAlignment="1" applyProtection="1">
      <alignment horizontal="center" vertical="center"/>
      <protection locked="0"/>
    </xf>
    <xf numFmtId="0" fontId="9" fillId="7" borderId="19" xfId="0" applyFont="1" applyFill="1" applyBorder="1" applyAlignment="1" applyProtection="1">
      <alignment horizontal="center" vertical="center" wrapText="1"/>
      <protection locked="0"/>
    </xf>
    <xf numFmtId="1" fontId="9" fillId="7" borderId="19" xfId="0" applyNumberFormat="1" applyFont="1" applyFill="1" applyBorder="1" applyAlignment="1" applyProtection="1">
      <alignment horizontal="center" vertical="center" wrapText="1"/>
      <protection locked="0"/>
    </xf>
    <xf numFmtId="0" fontId="8" fillId="7" borderId="15" xfId="3" applyFill="1" applyBorder="1" applyAlignment="1" applyProtection="1">
      <alignment horizontal="center" vertical="center"/>
      <protection locked="0"/>
    </xf>
    <xf numFmtId="165" fontId="8" fillId="7" borderId="15" xfId="0" applyNumberFormat="1" applyFont="1" applyFill="1" applyBorder="1" applyAlignment="1" applyProtection="1">
      <alignment horizontal="center" vertical="center"/>
      <protection locked="0"/>
    </xf>
    <xf numFmtId="0" fontId="8" fillId="7" borderId="9" xfId="3" applyFill="1" applyBorder="1" applyAlignment="1" applyProtection="1">
      <alignment horizontal="center" vertical="center"/>
      <protection locked="0"/>
    </xf>
    <xf numFmtId="22" fontId="8" fillId="7" borderId="9" xfId="3" applyNumberFormat="1" applyFill="1" applyBorder="1" applyAlignment="1" applyProtection="1">
      <alignment horizontal="center" vertical="center"/>
      <protection locked="0"/>
    </xf>
    <xf numFmtId="0" fontId="8" fillId="7" borderId="15" xfId="0" applyFont="1" applyFill="1" applyBorder="1" applyAlignment="1" applyProtection="1">
      <alignment horizontal="center" vertical="center"/>
      <protection locked="0"/>
    </xf>
    <xf numFmtId="0" fontId="21" fillId="7" borderId="15" xfId="3" applyFont="1" applyFill="1" applyBorder="1" applyAlignment="1" applyProtection="1">
      <alignment horizontal="center" vertical="center"/>
      <protection locked="0"/>
    </xf>
    <xf numFmtId="0" fontId="1" fillId="0" borderId="0" xfId="47"/>
    <xf numFmtId="0" fontId="32" fillId="0" borderId="0" xfId="0" applyFont="1"/>
    <xf numFmtId="0" fontId="30" fillId="0" borderId="0" xfId="47" applyFont="1" applyProtection="1">
      <protection locked="0"/>
    </xf>
    <xf numFmtId="0" fontId="30" fillId="0" borderId="16" xfId="47" applyFont="1" applyBorder="1" applyProtection="1">
      <protection locked="0"/>
    </xf>
    <xf numFmtId="0" fontId="26" fillId="0" borderId="20" xfId="47" applyFont="1" applyBorder="1" applyAlignment="1" applyProtection="1">
      <alignment horizontal="center" vertical="center" textRotation="90"/>
      <protection locked="0"/>
    </xf>
    <xf numFmtId="0" fontId="8" fillId="0" borderId="0" xfId="0" applyFont="1"/>
    <xf numFmtId="0" fontId="37" fillId="7" borderId="0" xfId="47" applyFont="1" applyFill="1"/>
    <xf numFmtId="0" fontId="38" fillId="7" borderId="0" xfId="47" applyFont="1" applyFill="1"/>
    <xf numFmtId="0" fontId="39" fillId="0" borderId="20" xfId="47" applyFont="1" applyBorder="1" applyAlignment="1" applyProtection="1">
      <alignment horizontal="center" vertical="center" textRotation="90"/>
      <protection locked="0"/>
    </xf>
    <xf numFmtId="0" fontId="41" fillId="0" borderId="0" xfId="47" applyFont="1"/>
    <xf numFmtId="0" fontId="42" fillId="0" borderId="0" xfId="47" applyFont="1"/>
    <xf numFmtId="0" fontId="11" fillId="0" borderId="18" xfId="0" applyFont="1" applyBorder="1" applyAlignment="1">
      <alignment horizontal="center" vertical="center"/>
    </xf>
    <xf numFmtId="169" fontId="17" fillId="0" borderId="0" xfId="0" applyNumberFormat="1" applyFont="1" applyAlignment="1">
      <alignment horizontal="center" vertical="center" textRotation="90"/>
    </xf>
    <xf numFmtId="0" fontId="11" fillId="2" borderId="1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/>
    <xf numFmtId="166" fontId="9" fillId="2" borderId="7" xfId="0" applyNumberFormat="1" applyFont="1" applyFill="1" applyBorder="1" applyAlignment="1">
      <alignment horizontal="left" vertical="center"/>
    </xf>
    <xf numFmtId="168" fontId="17" fillId="0" borderId="0" xfId="0" applyNumberFormat="1" applyFont="1" applyAlignment="1">
      <alignment horizontal="center" vertical="center" textRotation="90"/>
    </xf>
    <xf numFmtId="0" fontId="27" fillId="0" borderId="9" xfId="47" applyFont="1" applyBorder="1" applyAlignment="1" applyProtection="1">
      <alignment horizontal="center" vertical="center"/>
      <protection locked="0"/>
    </xf>
    <xf numFmtId="0" fontId="28" fillId="0" borderId="9" xfId="47" applyFont="1" applyBorder="1" applyAlignment="1" applyProtection="1">
      <alignment horizontal="center" vertical="center"/>
      <protection locked="0"/>
    </xf>
    <xf numFmtId="0" fontId="29" fillId="0" borderId="9" xfId="47" quotePrefix="1" applyFont="1" applyBorder="1" applyAlignment="1" applyProtection="1">
      <alignment horizontal="center" vertical="center"/>
      <protection locked="0"/>
    </xf>
    <xf numFmtId="0" fontId="31" fillId="0" borderId="9" xfId="47" applyFont="1" applyBorder="1" applyAlignment="1" applyProtection="1">
      <alignment horizontal="center" vertical="center"/>
      <protection locked="0"/>
    </xf>
    <xf numFmtId="0" fontId="40" fillId="0" borderId="9" xfId="47" applyFont="1" applyBorder="1" applyAlignment="1" applyProtection="1">
      <alignment horizontal="center" vertical="center"/>
      <protection locked="0"/>
    </xf>
    <xf numFmtId="0" fontId="36" fillId="0" borderId="9" xfId="47" applyFont="1" applyBorder="1" applyAlignment="1" applyProtection="1">
      <alignment horizontal="center" vertical="center"/>
      <protection locked="0"/>
    </xf>
    <xf numFmtId="0" fontId="25" fillId="7" borderId="21" xfId="47" applyFont="1" applyFill="1" applyBorder="1" applyAlignment="1" applyProtection="1">
      <alignment horizontal="center" vertical="center"/>
      <protection locked="0"/>
    </xf>
    <xf numFmtId="0" fontId="25" fillId="7" borderId="9" xfId="47" applyFont="1" applyFill="1" applyBorder="1" applyAlignment="1" applyProtection="1">
      <alignment horizontal="center" vertical="center"/>
      <protection locked="0"/>
    </xf>
    <xf numFmtId="0" fontId="24" fillId="7" borderId="9" xfId="47" applyFont="1" applyFill="1" applyBorder="1" applyAlignment="1" applyProtection="1">
      <alignment horizontal="center" vertical="center" textRotation="90"/>
      <protection locked="0"/>
    </xf>
    <xf numFmtId="0" fontId="25" fillId="7" borderId="22" xfId="47" applyFont="1" applyFill="1" applyBorder="1" applyAlignment="1" applyProtection="1">
      <alignment horizontal="center" vertical="center" textRotation="90"/>
      <protection locked="0"/>
    </xf>
    <xf numFmtId="0" fontId="33" fillId="7" borderId="21" xfId="47" applyFont="1" applyFill="1" applyBorder="1" applyAlignment="1" applyProtection="1">
      <alignment horizontal="center" vertical="center"/>
      <protection locked="0"/>
    </xf>
    <xf numFmtId="0" fontId="33" fillId="7" borderId="9" xfId="47" applyFont="1" applyFill="1" applyBorder="1" applyAlignment="1" applyProtection="1">
      <alignment horizontal="center" vertical="center"/>
      <protection locked="0"/>
    </xf>
    <xf numFmtId="0" fontId="35" fillId="0" borderId="0" xfId="47" applyFont="1" applyAlignment="1">
      <alignment horizontal="center" wrapText="1"/>
    </xf>
    <xf numFmtId="0" fontId="34" fillId="0" borderId="0" xfId="47" applyFont="1" applyAlignment="1">
      <alignment horizontal="center" vertical="center"/>
    </xf>
    <xf numFmtId="17" fontId="33" fillId="7" borderId="21" xfId="47" applyNumberFormat="1" applyFont="1" applyFill="1" applyBorder="1" applyAlignment="1" applyProtection="1">
      <alignment horizontal="center" vertical="center"/>
      <protection locked="0"/>
    </xf>
  </cellXfs>
  <cellStyles count="48">
    <cellStyle name="Hiperlink 2" xfId="2" xr:uid="{00000000-0005-0000-0000-000000000000}"/>
    <cellStyle name="Moeda 2" xfId="14" xr:uid="{39169DFE-F0C7-44F4-8A33-51C4FBED9970}"/>
    <cellStyle name="Moeda 2 2" xfId="36" xr:uid="{D385ECFC-134A-4BD9-A9FA-7D588E707D17}"/>
    <cellStyle name="Moeda 3" xfId="25" xr:uid="{3DBB7D64-A1E9-4E72-952F-6067EA665DBC}"/>
    <cellStyle name="Normal" xfId="0" builtinId="0"/>
    <cellStyle name="Normal 2" xfId="3" xr:uid="{00000000-0005-0000-0000-000003000000}"/>
    <cellStyle name="Normal 3" xfId="4" xr:uid="{00000000-0005-0000-0000-000004000000}"/>
    <cellStyle name="Normal 4" xfId="8" xr:uid="{00000000-0005-0000-0000-000005000000}"/>
    <cellStyle name="Normal 4 2" xfId="13" xr:uid="{00000000-0005-0000-0000-000006000000}"/>
    <cellStyle name="Normal 4 2 2" xfId="24" xr:uid="{01D751A4-796C-4D0E-909A-3D0B088504EC}"/>
    <cellStyle name="Normal 4 2 2 2" xfId="46" xr:uid="{1F3E2B9F-D2EA-42A0-A4B2-8EFEFC871B04}"/>
    <cellStyle name="Normal 4 2 3" xfId="35" xr:uid="{C6CAE43A-9493-4618-BB8E-8EDC84EC9A80}"/>
    <cellStyle name="Normal 4 3" xfId="20" xr:uid="{57EF3D78-A835-4345-A70E-888A2CDB36AC}"/>
    <cellStyle name="Normal 4 3 2" xfId="42" xr:uid="{8068AFF0-2DAF-4544-884D-53F4215145FD}"/>
    <cellStyle name="Normal 4 4" xfId="31" xr:uid="{1291B9BB-B2DF-4EB2-B8D3-4C3645E2995A}"/>
    <cellStyle name="Normal 5" xfId="9" xr:uid="{00000000-0005-0000-0000-000007000000}"/>
    <cellStyle name="Normal 6" xfId="1" xr:uid="{00000000-0005-0000-0000-000008000000}"/>
    <cellStyle name="Normal 6 2" xfId="16" xr:uid="{00C0E9DA-BE3D-4007-B65D-FF9684747273}"/>
    <cellStyle name="Normal 6 2 2" xfId="38" xr:uid="{BC0858FB-8073-4CC3-9A81-89280E235388}"/>
    <cellStyle name="Normal 6 3" xfId="27" xr:uid="{75CA80F1-35F2-459C-BF48-A802453E0C32}"/>
    <cellStyle name="Normal 7" xfId="10" xr:uid="{00000000-0005-0000-0000-000009000000}"/>
    <cellStyle name="Normal 7 2" xfId="21" xr:uid="{75DE03F6-2517-4CB6-A4DD-9D2A954B14F1}"/>
    <cellStyle name="Normal 7 2 2" xfId="43" xr:uid="{5E8BFD2F-C28C-4C6D-8726-30998CDB3094}"/>
    <cellStyle name="Normal 7 3" xfId="32" xr:uid="{8DF59331-BCCD-484A-BFED-775761DFF9E0}"/>
    <cellStyle name="Normal 8" xfId="47" xr:uid="{D9554EDE-DCF4-4A7E-BF52-D7A5CC48C020}"/>
    <cellStyle name="Porcentagem 2" xfId="7" xr:uid="{00000000-0005-0000-0000-00000A000000}"/>
    <cellStyle name="Porcentagem 2 2" xfId="19" xr:uid="{0CCF31EB-1823-4409-9563-26FB9A6981AA}"/>
    <cellStyle name="Porcentagem 2 2 2" xfId="41" xr:uid="{5B26A8F6-D636-4399-86B5-0847ABB60144}"/>
    <cellStyle name="Porcentagem 2 3" xfId="30" xr:uid="{6346A2E7-D221-47EC-9C76-43BF3751E7CF}"/>
    <cellStyle name="Porcentagem 3" xfId="12" xr:uid="{00000000-0005-0000-0000-00000B000000}"/>
    <cellStyle name="Porcentagem 3 2" xfId="23" xr:uid="{82F909A7-2541-4082-86BE-BA712A150302}"/>
    <cellStyle name="Porcentagem 3 2 2" xfId="45" xr:uid="{AA86FFEE-A25B-4B9C-98E7-F154C3712AFA}"/>
    <cellStyle name="Porcentagem 3 3" xfId="34" xr:uid="{7B7B3206-7280-49C7-ACA0-9D9EF266AD59}"/>
    <cellStyle name="Separador de milhares 2" xfId="5" xr:uid="{00000000-0005-0000-0000-00000C000000}"/>
    <cellStyle name="Separador de milhares 2 2" xfId="17" xr:uid="{C8740868-1FF0-42AF-A3CE-02B166F34F9A}"/>
    <cellStyle name="Separador de milhares 2 2 2" xfId="39" xr:uid="{9F3A102C-6BC6-49E5-ACA3-907E1021FC32}"/>
    <cellStyle name="Separador de milhares 2 3" xfId="28" xr:uid="{834CC966-BEF3-404B-B810-20853FF86CE0}"/>
    <cellStyle name="Separador de milhares 4" xfId="6" xr:uid="{00000000-0005-0000-0000-00000D000000}"/>
    <cellStyle name="Separador de milhares 4 2" xfId="11" xr:uid="{00000000-0005-0000-0000-00000E000000}"/>
    <cellStyle name="Separador de milhares 4 2 2" xfId="22" xr:uid="{78119236-7613-4FF1-8865-C9848B2A047E}"/>
    <cellStyle name="Separador de milhares 4 2 2 2" xfId="44" xr:uid="{F9781D2D-429A-40A9-837E-E21B3C076618}"/>
    <cellStyle name="Separador de milhares 4 2 3" xfId="33" xr:uid="{48641959-61AF-42AC-90C3-535DEE330EFC}"/>
    <cellStyle name="Separador de milhares 4 3" xfId="18" xr:uid="{767D4236-1DCC-4E72-8CE9-7FEF99874152}"/>
    <cellStyle name="Separador de milhares 4 3 2" xfId="40" xr:uid="{A24C97DD-9DCA-4E60-9C87-CE233AF89FB1}"/>
    <cellStyle name="Separador de milhares 4 4" xfId="29" xr:uid="{236097A6-C2E2-4B0A-B8CB-25DA957A095A}"/>
    <cellStyle name="Vírgula 2" xfId="15" xr:uid="{EEFD88D5-CD15-4430-993E-F3496417179C}"/>
    <cellStyle name="Vírgula 2 2" xfId="37" xr:uid="{6C5F9FEF-0BED-4883-9FBE-60D18A0BF417}"/>
    <cellStyle name="Vírgula 3" xfId="26" xr:uid="{A45ACA9F-43B4-4167-85BF-52D578B0A774}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0</xdr:row>
      <xdr:rowOff>0</xdr:rowOff>
    </xdr:from>
    <xdr:to>
      <xdr:col>7</xdr:col>
      <xdr:colOff>542925</xdr:colOff>
      <xdr:row>4</xdr:row>
      <xdr:rowOff>142875</xdr:rowOff>
    </xdr:to>
    <xdr:pic>
      <xdr:nvPicPr>
        <xdr:cNvPr id="2670" name="Picture 1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0"/>
          <a:ext cx="2952750" cy="800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333375</xdr:colOff>
      <xdr:row>0</xdr:row>
      <xdr:rowOff>0</xdr:rowOff>
    </xdr:from>
    <xdr:to>
      <xdr:col>7</xdr:col>
      <xdr:colOff>542925</xdr:colOff>
      <xdr:row>4</xdr:row>
      <xdr:rowOff>142875</xdr:rowOff>
    </xdr:to>
    <xdr:pic>
      <xdr:nvPicPr>
        <xdr:cNvPr id="2671" name="Picture 1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0"/>
          <a:ext cx="2952750" cy="800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76200</xdr:rowOff>
    </xdr:from>
    <xdr:to>
      <xdr:col>7</xdr:col>
      <xdr:colOff>285750</xdr:colOff>
      <xdr:row>5</xdr:row>
      <xdr:rowOff>57150</xdr:rowOff>
    </xdr:to>
    <xdr:pic>
      <xdr:nvPicPr>
        <xdr:cNvPr id="6461" name="Picture 1">
          <a:extLst>
            <a:ext uri="{FF2B5EF4-FFF2-40B4-BE49-F238E27FC236}">
              <a16:creationId xmlns:a16="http://schemas.microsoft.com/office/drawing/2014/main" id="{00000000-0008-0000-01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76200"/>
          <a:ext cx="2952750" cy="800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SBL13508\Desktop\Controles%20Di&#225;rios\ETIQUETA%20-SW%20.xlsb" TargetMode="External"/><Relationship Id="rId1" Type="http://schemas.openxmlformats.org/officeDocument/2006/relationships/externalLinkPath" Target="file:///D:\Users\SBL13508\Desktop\Controles%20Di&#225;rios\ETIQUETA%20-SW%2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IQUETA"/>
      <sheetName val="ETIQUETA (2)"/>
      <sheetName val="LSL-T"/>
      <sheetName val="ETIQUETA -SW "/>
    </sheetNames>
    <sheetDataSet>
      <sheetData sheetId="0">
        <row r="21">
          <cell r="E21" t="str">
            <v>BARCELONA</v>
          </cell>
        </row>
        <row r="22">
          <cell r="E22" t="str">
            <v>DUBAI</v>
          </cell>
        </row>
        <row r="23">
          <cell r="E23" t="str">
            <v>LV</v>
          </cell>
        </row>
        <row r="24">
          <cell r="E24" t="str">
            <v>OSAKA</v>
          </cell>
        </row>
        <row r="25">
          <cell r="E25" t="str">
            <v>ROTTERDAM</v>
          </cell>
        </row>
        <row r="26">
          <cell r="E26" t="str">
            <v>SINGAPUR</v>
          </cell>
        </row>
        <row r="27">
          <cell r="E27" t="str">
            <v>TOKYO</v>
          </cell>
        </row>
        <row r="28">
          <cell r="E28" t="str">
            <v>VALENCIA</v>
          </cell>
        </row>
        <row r="29">
          <cell r="E29" t="str">
            <v>XANGAI</v>
          </cell>
        </row>
        <row r="30">
          <cell r="E30" t="str">
            <v>XXXV</v>
          </cell>
        </row>
        <row r="31">
          <cell r="E31" t="str">
            <v>YOKOHAMA</v>
          </cell>
        </row>
        <row r="32">
          <cell r="E32" t="str">
            <v>LOS ANGELES</v>
          </cell>
        </row>
        <row r="33">
          <cell r="E33" t="str">
            <v>LISBOA</v>
          </cell>
        </row>
        <row r="34">
          <cell r="E34" t="str">
            <v>ANTUERPIA</v>
          </cell>
        </row>
        <row r="36">
          <cell r="E36" t="str">
            <v>BL1</v>
          </cell>
        </row>
        <row r="37">
          <cell r="E37" t="str">
            <v>BL2</v>
          </cell>
        </row>
        <row r="38">
          <cell r="E38" t="str">
            <v>CBA</v>
          </cell>
        </row>
        <row r="39">
          <cell r="E39" t="str">
            <v>GOI</v>
          </cell>
        </row>
        <row r="40">
          <cell r="E40" t="str">
            <v>ITJ</v>
          </cell>
        </row>
        <row r="41">
          <cell r="E41" t="str">
            <v>REC</v>
          </cell>
        </row>
        <row r="42">
          <cell r="E42" t="str">
            <v>RFJ</v>
          </cell>
        </row>
        <row r="43">
          <cell r="E43" t="str">
            <v>RIO</v>
          </cell>
        </row>
        <row r="44">
          <cell r="E44" t="str">
            <v>SIF</v>
          </cell>
        </row>
        <row r="45">
          <cell r="E45" t="str">
            <v>CPV</v>
          </cell>
        </row>
        <row r="46">
          <cell r="E46" t="str">
            <v>CP1</v>
          </cell>
        </row>
        <row r="47">
          <cell r="E47" t="str">
            <v>CP2</v>
          </cell>
        </row>
        <row r="48">
          <cell r="E48" t="str">
            <v>BHZ</v>
          </cell>
        </row>
        <row r="49">
          <cell r="E49" t="str">
            <v>FOR</v>
          </cell>
        </row>
      </sheetData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K57" totalsRowShown="0">
  <autoFilter ref="A1:K57" xr:uid="{00000000-0009-0000-0100-000001000000}"/>
  <tableColumns count="11">
    <tableColumn id="1" xr3:uid="{00000000-0010-0000-0000-000001000000}" name="C" dataDxfId="0"/>
    <tableColumn id="2" xr3:uid="{00000000-0010-0000-0000-000002000000}" name="MÊS"/>
    <tableColumn id="3" xr3:uid="{00000000-0010-0000-0000-000003000000}" name="Carga"/>
    <tableColumn id="4" xr3:uid="{00000000-0010-0000-0000-000004000000}" name="VIAGEM"/>
    <tableColumn id="5" xr3:uid="{00000000-0010-0000-0000-000005000000}" name="EMPRESA"/>
    <tableColumn id="6" xr3:uid="{00000000-0010-0000-0000-000006000000}" name="TIPO"/>
    <tableColumn id="7" xr3:uid="{00000000-0010-0000-0000-000007000000}" name="PLACA"/>
    <tableColumn id="8" xr3:uid="{00000000-0010-0000-0000-000008000000}" name="NOTA F."/>
    <tableColumn id="9" xr3:uid="{00000000-0010-0000-0000-000009000000}" name="QTD"/>
    <tableColumn id="10" xr3:uid="{00000000-0010-0000-0000-00000A000000}" name="FROTA"/>
    <tableColumn id="11" xr3:uid="{00000000-0010-0000-0000-00000B000000}" name="PES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N22"/>
  <sheetViews>
    <sheetView view="pageBreakPreview" topLeftCell="B4" zoomScale="75" zoomScaleNormal="75" zoomScaleSheetLayoutView="75" workbookViewId="0">
      <selection activeCell="G13" sqref="G13"/>
    </sheetView>
  </sheetViews>
  <sheetFormatPr defaultRowHeight="13.2" x14ac:dyDescent="0.25"/>
  <cols>
    <col min="1" max="1" width="7.33203125" hidden="1" customWidth="1"/>
    <col min="2" max="2" width="5.44140625" customWidth="1"/>
    <col min="3" max="3" width="13.6640625" customWidth="1"/>
    <col min="4" max="4" width="7.33203125" hidden="1" customWidth="1"/>
    <col min="5" max="5" width="13.6640625" customWidth="1"/>
    <col min="6" max="6" width="7" hidden="1" customWidth="1"/>
    <col min="7" max="11" width="13.6640625" customWidth="1"/>
    <col min="12" max="12" width="7.5546875" customWidth="1"/>
    <col min="13" max="13" width="6.33203125" customWidth="1"/>
    <col min="14" max="14" width="9.33203125" customWidth="1"/>
  </cols>
  <sheetData>
    <row r="1" spans="1:14" ht="13.8" thickTop="1" x14ac:dyDescent="0.25">
      <c r="C1" s="1"/>
      <c r="D1" s="2"/>
      <c r="E1" s="2"/>
      <c r="F1" s="2"/>
      <c r="G1" s="2"/>
      <c r="H1" s="2"/>
      <c r="I1" s="2"/>
      <c r="J1" s="2"/>
      <c r="K1" s="2"/>
      <c r="L1" s="3"/>
      <c r="M1" s="4"/>
    </row>
    <row r="2" spans="1:14" ht="12.75" customHeight="1" x14ac:dyDescent="0.25">
      <c r="C2" s="5"/>
      <c r="D2" s="4"/>
      <c r="E2" s="4"/>
      <c r="F2" s="4"/>
      <c r="G2" s="4"/>
      <c r="H2" s="85" t="s">
        <v>15</v>
      </c>
      <c r="I2" s="86"/>
      <c r="J2" s="86"/>
      <c r="K2" s="86"/>
      <c r="L2" s="6"/>
      <c r="M2" s="4"/>
    </row>
    <row r="3" spans="1:14" ht="12.75" customHeight="1" x14ac:dyDescent="0.25">
      <c r="C3" s="5"/>
      <c r="D3" s="4"/>
      <c r="E3" s="4"/>
      <c r="F3" s="4"/>
      <c r="G3" s="4"/>
      <c r="H3" s="86"/>
      <c r="I3" s="86"/>
      <c r="J3" s="86"/>
      <c r="K3" s="86"/>
      <c r="L3" s="7"/>
      <c r="M3" s="4"/>
    </row>
    <row r="4" spans="1:14" x14ac:dyDescent="0.25">
      <c r="C4" s="5"/>
      <c r="D4" s="4"/>
      <c r="E4" s="4"/>
      <c r="F4" s="4"/>
      <c r="G4" s="4"/>
      <c r="H4" s="4"/>
      <c r="I4" s="8"/>
      <c r="J4" s="8"/>
      <c r="K4" s="9"/>
      <c r="L4" s="10"/>
      <c r="M4" s="4"/>
    </row>
    <row r="5" spans="1:14" x14ac:dyDescent="0.25">
      <c r="C5" s="5"/>
      <c r="D5" s="4"/>
      <c r="E5" s="4"/>
      <c r="F5" s="4"/>
      <c r="G5" s="4"/>
      <c r="H5" s="4"/>
      <c r="I5" s="11"/>
      <c r="J5" s="11"/>
      <c r="K5" s="4"/>
      <c r="L5" s="6"/>
      <c r="M5" s="4"/>
    </row>
    <row r="6" spans="1:14" ht="13.8" thickBot="1" x14ac:dyDescent="0.3">
      <c r="C6" s="12"/>
      <c r="D6" s="13"/>
      <c r="E6" s="13"/>
      <c r="F6" s="13"/>
      <c r="G6" s="13"/>
      <c r="H6" s="13"/>
      <c r="I6" s="14"/>
      <c r="J6" s="87"/>
      <c r="K6" s="87"/>
      <c r="L6" s="15"/>
      <c r="M6" s="4"/>
    </row>
    <row r="7" spans="1:14" ht="13.8" thickTop="1" x14ac:dyDescent="0.25"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ht="15" x14ac:dyDescent="0.25">
      <c r="A8" s="16">
        <f>SUM(A10:A18)</f>
        <v>0</v>
      </c>
      <c r="C8" s="17"/>
      <c r="D8" s="16">
        <f>SUM(D10:D18)</f>
        <v>0</v>
      </c>
      <c r="E8" s="32">
        <f>A8+D8+F8</f>
        <v>23.184000000000001</v>
      </c>
      <c r="F8" s="16">
        <f>SUM(F10:F18)</f>
        <v>23.184000000000001</v>
      </c>
      <c r="G8" s="17"/>
      <c r="H8" s="19" t="s">
        <v>16</v>
      </c>
      <c r="I8" s="29" t="s">
        <v>17</v>
      </c>
      <c r="J8" s="30">
        <f>M10+M14</f>
        <v>23.184000000000001</v>
      </c>
      <c r="K8" s="17"/>
      <c r="L8" s="17"/>
      <c r="M8" s="4"/>
    </row>
    <row r="9" spans="1:14" ht="28.8" thickBot="1" x14ac:dyDescent="0.3">
      <c r="B9" s="17"/>
      <c r="C9" s="20">
        <v>1</v>
      </c>
      <c r="D9" s="20"/>
      <c r="E9" s="21">
        <v>2</v>
      </c>
      <c r="F9" s="22"/>
      <c r="G9" s="20">
        <v>3</v>
      </c>
      <c r="H9" s="20">
        <v>4</v>
      </c>
      <c r="I9" s="20">
        <v>5</v>
      </c>
      <c r="J9" s="20">
        <v>6</v>
      </c>
      <c r="K9" s="20">
        <v>7</v>
      </c>
      <c r="L9" s="23"/>
      <c r="M9" s="4"/>
    </row>
    <row r="10" spans="1:14" ht="18.75" customHeight="1" thickBot="1" x14ac:dyDescent="0.3">
      <c r="A10" s="18">
        <f>IF(C10&gt;K10,C10-K10,C10-K10)</f>
        <v>0</v>
      </c>
      <c r="B10" s="82" t="s">
        <v>18</v>
      </c>
      <c r="C10" s="49"/>
      <c r="D10" s="50">
        <f>E10-J10</f>
        <v>0</v>
      </c>
      <c r="E10" s="51"/>
      <c r="F10" s="52">
        <f>G10-I10</f>
        <v>23.184000000000001</v>
      </c>
      <c r="G10" s="53">
        <v>23.184000000000001</v>
      </c>
      <c r="H10" s="54"/>
      <c r="I10" s="53"/>
      <c r="J10" s="51"/>
      <c r="K10" s="49"/>
      <c r="L10" s="24">
        <f>SUM(G10:K10)+E10+C10</f>
        <v>23.184000000000001</v>
      </c>
      <c r="M10" s="88">
        <f>SUM(L10:L13)</f>
        <v>23.184000000000001</v>
      </c>
    </row>
    <row r="11" spans="1:14" ht="105" customHeight="1" thickBot="1" x14ac:dyDescent="0.3">
      <c r="A11" s="18"/>
      <c r="B11" s="82"/>
      <c r="C11" s="48"/>
      <c r="D11" s="43"/>
      <c r="E11" s="38"/>
      <c r="F11" s="46"/>
      <c r="G11" s="39" t="s">
        <v>35</v>
      </c>
      <c r="H11" s="40"/>
      <c r="I11" s="39"/>
      <c r="J11" s="38"/>
      <c r="K11" s="37"/>
      <c r="L11" s="24"/>
      <c r="M11" s="88"/>
      <c r="N11" s="25"/>
    </row>
    <row r="12" spans="1:14" ht="18.75" customHeight="1" thickBot="1" x14ac:dyDescent="0.3">
      <c r="A12" s="18">
        <f>IF(C12&gt;K12,C12-K12,C12-K12)</f>
        <v>0</v>
      </c>
      <c r="B12" s="82" t="s">
        <v>19</v>
      </c>
      <c r="C12" s="49"/>
      <c r="D12" s="50">
        <f>E12-J12</f>
        <v>0</v>
      </c>
      <c r="E12" s="51"/>
      <c r="F12" s="52">
        <f>G12-I12</f>
        <v>0</v>
      </c>
      <c r="G12" s="53"/>
      <c r="H12" s="54"/>
      <c r="I12" s="53"/>
      <c r="J12" s="51"/>
      <c r="K12" s="49"/>
      <c r="L12" s="24">
        <f>SUM(G12:K12)+E12+C12</f>
        <v>0</v>
      </c>
      <c r="M12" s="88"/>
      <c r="N12" s="25"/>
    </row>
    <row r="13" spans="1:14" ht="105" customHeight="1" thickBot="1" x14ac:dyDescent="0.3">
      <c r="A13" s="18"/>
      <c r="B13" s="82"/>
      <c r="C13" s="48"/>
      <c r="D13" s="43"/>
      <c r="E13" s="38"/>
      <c r="F13" s="46"/>
      <c r="G13" s="39"/>
      <c r="H13" s="40"/>
      <c r="I13" s="39"/>
      <c r="J13" s="38"/>
      <c r="K13" s="48"/>
      <c r="L13" s="24"/>
      <c r="M13" s="88"/>
      <c r="N13" s="25"/>
    </row>
    <row r="14" spans="1:14" ht="18.75" customHeight="1" thickBot="1" x14ac:dyDescent="0.3">
      <c r="A14" s="18">
        <f>IF(C14&gt;K14,C14-K14,C14-K14)</f>
        <v>0</v>
      </c>
      <c r="B14" s="82" t="s">
        <v>20</v>
      </c>
      <c r="C14" s="49"/>
      <c r="D14" s="50">
        <f>E14-J14</f>
        <v>0</v>
      </c>
      <c r="E14" s="51"/>
      <c r="F14" s="52">
        <f>G14-I14</f>
        <v>0</v>
      </c>
      <c r="G14" s="53"/>
      <c r="H14" s="54"/>
      <c r="I14" s="53"/>
      <c r="J14" s="51"/>
      <c r="K14" s="49"/>
      <c r="L14" s="24">
        <f>(SUM(G14:K14)+E14+C14)</f>
        <v>0</v>
      </c>
      <c r="M14" s="83">
        <f>SUM(L14:L19)</f>
        <v>0</v>
      </c>
      <c r="N14" s="25"/>
    </row>
    <row r="15" spans="1:14" ht="111" customHeight="1" thickBot="1" x14ac:dyDescent="0.3">
      <c r="A15" s="18"/>
      <c r="B15" s="82"/>
      <c r="C15" s="48"/>
      <c r="D15" s="43"/>
      <c r="E15" s="38"/>
      <c r="F15" s="46"/>
      <c r="G15" s="39"/>
      <c r="H15" s="40"/>
      <c r="I15" s="39"/>
      <c r="J15" s="38"/>
      <c r="K15" s="48"/>
      <c r="L15" s="24"/>
      <c r="M15" s="83"/>
      <c r="N15" s="25"/>
    </row>
    <row r="16" spans="1:14" ht="18.75" customHeight="1" thickBot="1" x14ac:dyDescent="0.3">
      <c r="A16" s="18">
        <f>IF(C16&gt;K16,C16-K16,C16-K16)</f>
        <v>0</v>
      </c>
      <c r="B16" s="82" t="s">
        <v>21</v>
      </c>
      <c r="C16" s="49"/>
      <c r="D16" s="50">
        <f>E16-J16</f>
        <v>0</v>
      </c>
      <c r="E16" s="51"/>
      <c r="F16" s="52"/>
      <c r="G16" s="53"/>
      <c r="H16" s="54"/>
      <c r="I16" s="53"/>
      <c r="J16" s="51"/>
      <c r="K16" s="49"/>
      <c r="L16" s="24">
        <f>SUM(G16:K16)+E16+C16</f>
        <v>0</v>
      </c>
      <c r="M16" s="83"/>
      <c r="N16" s="26"/>
    </row>
    <row r="17" spans="1:14" ht="60.75" customHeight="1" thickBot="1" x14ac:dyDescent="0.3">
      <c r="A17" s="18"/>
      <c r="B17" s="82"/>
      <c r="C17" s="37"/>
      <c r="D17" s="43"/>
      <c r="E17" s="38"/>
      <c r="F17" s="46"/>
      <c r="G17" s="39"/>
      <c r="H17" s="40"/>
      <c r="I17" s="39"/>
      <c r="J17" s="38"/>
      <c r="K17" s="37"/>
      <c r="L17" s="27"/>
      <c r="M17" s="83"/>
      <c r="N17" s="26"/>
    </row>
    <row r="18" spans="1:14" ht="18.75" customHeight="1" thickBot="1" x14ac:dyDescent="0.3">
      <c r="A18" s="18">
        <f>IF(C18&gt;K18,C18-K18,C18-K18)</f>
        <v>0</v>
      </c>
      <c r="B18" s="84" t="s">
        <v>22</v>
      </c>
      <c r="C18" s="49"/>
      <c r="D18" s="50">
        <f>E18-J18</f>
        <v>0</v>
      </c>
      <c r="E18" s="51"/>
      <c r="F18" s="52">
        <f>G18-I18</f>
        <v>0</v>
      </c>
      <c r="G18" s="53"/>
      <c r="H18" s="54"/>
      <c r="I18" s="53"/>
      <c r="J18" s="51"/>
      <c r="K18" s="49"/>
      <c r="L18" s="24">
        <f>SUM(G18:K18)+E18+C18</f>
        <v>0</v>
      </c>
      <c r="M18" s="83"/>
      <c r="N18" s="25"/>
    </row>
    <row r="19" spans="1:14" ht="105" customHeight="1" thickBot="1" x14ac:dyDescent="0.3">
      <c r="B19" s="84"/>
      <c r="C19" s="37"/>
      <c r="D19" s="44"/>
      <c r="E19" s="38"/>
      <c r="F19" s="47"/>
      <c r="G19" s="39"/>
      <c r="H19" s="40"/>
      <c r="I19" s="39"/>
      <c r="J19" s="38"/>
      <c r="K19" s="37"/>
      <c r="L19" s="28"/>
      <c r="M19" s="83"/>
    </row>
    <row r="20" spans="1:14" x14ac:dyDescent="0.25">
      <c r="B20" s="17"/>
      <c r="C20" s="17"/>
      <c r="D20" s="17"/>
      <c r="E20" s="17"/>
      <c r="F20" s="17"/>
      <c r="G20" s="17"/>
      <c r="I20" s="17"/>
      <c r="J20" s="17"/>
      <c r="K20" s="17"/>
      <c r="L20" s="28"/>
    </row>
    <row r="21" spans="1:14" ht="15" x14ac:dyDescent="0.25">
      <c r="B21" s="17"/>
      <c r="C21" s="17"/>
      <c r="D21" s="17"/>
      <c r="E21" s="17"/>
      <c r="F21" s="17"/>
      <c r="G21" s="17"/>
      <c r="H21" s="31">
        <f>M14-M10</f>
        <v>-23.184000000000001</v>
      </c>
      <c r="I21" s="17"/>
      <c r="J21" s="17"/>
      <c r="K21" s="17"/>
      <c r="L21" s="28"/>
    </row>
    <row r="22" spans="1:14" x14ac:dyDescent="0.25">
      <c r="B22" s="17"/>
      <c r="C22" s="17"/>
      <c r="D22" s="17"/>
      <c r="E22" s="17"/>
      <c r="F22" s="17"/>
      <c r="G22" s="17"/>
      <c r="H22" s="23" t="s">
        <v>23</v>
      </c>
      <c r="I22" s="17"/>
      <c r="J22" s="17"/>
      <c r="K22" s="17"/>
      <c r="L22" s="17"/>
    </row>
  </sheetData>
  <sheetProtection sheet="1" formatCells="0" formatColumns="0" formatRows="0" insertColumns="0" insertRows="0" insertHyperlinks="0" deleteColumns="0" deleteRows="0" sort="0" autoFilter="0" pivotTables="0"/>
  <mergeCells count="9">
    <mergeCell ref="B14:B15"/>
    <mergeCell ref="M14:M19"/>
    <mergeCell ref="B16:B17"/>
    <mergeCell ref="B18:B19"/>
    <mergeCell ref="H2:K3"/>
    <mergeCell ref="J6:K6"/>
    <mergeCell ref="B10:B11"/>
    <mergeCell ref="M10:M13"/>
    <mergeCell ref="B12:B13"/>
  </mergeCells>
  <phoneticPr fontId="6" type="noConversion"/>
  <printOptions horizontalCentered="1"/>
  <pageMargins left="0.23622047244094491" right="0.15748031496062992" top="0.98425196850393704" bottom="0.98425196850393704" header="0.51181102362204722" footer="0.51181102362204722"/>
  <pageSetup paperSize="9" scale="85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N22"/>
  <sheetViews>
    <sheetView view="pageBreakPreview" topLeftCell="B1" zoomScale="75" zoomScaleNormal="75" workbookViewId="0">
      <selection activeCell="C10" sqref="C10"/>
    </sheetView>
  </sheetViews>
  <sheetFormatPr defaultRowHeight="13.2" x14ac:dyDescent="0.25"/>
  <cols>
    <col min="1" max="1" width="7.33203125" hidden="1" customWidth="1"/>
    <col min="2" max="2" width="5.44140625" customWidth="1"/>
    <col min="3" max="3" width="13.6640625" customWidth="1"/>
    <col min="4" max="4" width="7.33203125" hidden="1" customWidth="1"/>
    <col min="5" max="5" width="13.6640625" customWidth="1"/>
    <col min="6" max="6" width="7" hidden="1" customWidth="1"/>
    <col min="7" max="11" width="13.6640625" customWidth="1"/>
    <col min="12" max="12" width="7.5546875" customWidth="1"/>
    <col min="13" max="13" width="6.33203125" customWidth="1"/>
    <col min="14" max="14" width="9.33203125" customWidth="1"/>
  </cols>
  <sheetData>
    <row r="1" spans="1:14" ht="13.8" thickTop="1" x14ac:dyDescent="0.25">
      <c r="C1" s="1"/>
      <c r="D1" s="2"/>
      <c r="E1" s="2"/>
      <c r="F1" s="2"/>
      <c r="G1" s="2"/>
      <c r="H1" s="2"/>
      <c r="I1" s="2"/>
      <c r="J1" s="2"/>
      <c r="K1" s="2"/>
      <c r="L1" s="3"/>
      <c r="M1" s="4"/>
    </row>
    <row r="2" spans="1:14" ht="12.75" customHeight="1" x14ac:dyDescent="0.25">
      <c r="C2" s="5"/>
      <c r="D2" s="4"/>
      <c r="E2" s="4"/>
      <c r="F2" s="4"/>
      <c r="G2" s="4"/>
      <c r="H2" s="85" t="s">
        <v>15</v>
      </c>
      <c r="I2" s="86"/>
      <c r="J2" s="86"/>
      <c r="K2" s="86"/>
      <c r="L2" s="6"/>
      <c r="M2" s="4"/>
    </row>
    <row r="3" spans="1:14" ht="12.75" customHeight="1" x14ac:dyDescent="0.25">
      <c r="C3" s="5"/>
      <c r="D3" s="4"/>
      <c r="E3" s="4"/>
      <c r="F3" s="4"/>
      <c r="G3" s="4"/>
      <c r="H3" s="86"/>
      <c r="I3" s="86"/>
      <c r="J3" s="86"/>
      <c r="K3" s="86"/>
      <c r="L3" s="7"/>
      <c r="M3" s="4"/>
    </row>
    <row r="4" spans="1:14" x14ac:dyDescent="0.25">
      <c r="C4" s="5"/>
      <c r="D4" s="4"/>
      <c r="E4" s="4"/>
      <c r="F4" s="4"/>
      <c r="G4" s="4"/>
      <c r="H4" s="4"/>
      <c r="I4" s="8" t="s">
        <v>33</v>
      </c>
      <c r="J4" s="8" t="s">
        <v>34</v>
      </c>
      <c r="K4" s="9"/>
      <c r="L4" s="10"/>
      <c r="M4" s="4"/>
    </row>
    <row r="5" spans="1:14" x14ac:dyDescent="0.25">
      <c r="C5" s="5"/>
      <c r="D5" s="4"/>
      <c r="E5" s="4"/>
      <c r="F5" s="4"/>
      <c r="G5" s="4"/>
      <c r="H5" s="4"/>
      <c r="I5" s="11" t="s">
        <v>9</v>
      </c>
      <c r="J5" s="11" t="s">
        <v>10</v>
      </c>
      <c r="K5" s="4"/>
      <c r="L5" s="6"/>
      <c r="M5" s="4"/>
    </row>
    <row r="6" spans="1:14" ht="13.8" thickBot="1" x14ac:dyDescent="0.3">
      <c r="C6" s="12"/>
      <c r="D6" s="13"/>
      <c r="E6" s="13"/>
      <c r="F6" s="13"/>
      <c r="G6" s="13"/>
      <c r="H6" s="13"/>
      <c r="I6" s="14" t="s">
        <v>0</v>
      </c>
      <c r="J6" s="87">
        <v>40042</v>
      </c>
      <c r="K6" s="87"/>
      <c r="L6" s="15"/>
      <c r="M6" s="4"/>
    </row>
    <row r="7" spans="1:14" ht="13.8" thickTop="1" x14ac:dyDescent="0.25"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ht="15" x14ac:dyDescent="0.25">
      <c r="A8" s="16">
        <f>SUM(A10:A18)</f>
        <v>0</v>
      </c>
      <c r="C8" s="17"/>
      <c r="D8" s="16">
        <f>SUM(D10:D18)</f>
        <v>0</v>
      </c>
      <c r="E8" s="32">
        <f>A8+D8+F8</f>
        <v>0</v>
      </c>
      <c r="F8" s="16">
        <f>SUM(F10:F18)</f>
        <v>0</v>
      </c>
      <c r="G8" s="17"/>
      <c r="H8" s="19" t="s">
        <v>16</v>
      </c>
      <c r="I8" s="29" t="s">
        <v>17</v>
      </c>
      <c r="J8" s="30">
        <f>M10+M14</f>
        <v>0</v>
      </c>
      <c r="K8" s="17"/>
      <c r="L8" s="17"/>
      <c r="M8" s="4"/>
    </row>
    <row r="9" spans="1:14" ht="28.8" thickBot="1" x14ac:dyDescent="0.3">
      <c r="B9" s="17"/>
      <c r="C9" s="20">
        <v>1</v>
      </c>
      <c r="D9" s="20"/>
      <c r="E9" s="21">
        <v>2</v>
      </c>
      <c r="F9" s="22"/>
      <c r="G9" s="20">
        <v>3</v>
      </c>
      <c r="H9" s="20">
        <v>4</v>
      </c>
      <c r="I9" s="20">
        <v>5</v>
      </c>
      <c r="J9" s="20">
        <v>6</v>
      </c>
      <c r="K9" s="20">
        <v>7</v>
      </c>
      <c r="L9" s="23"/>
      <c r="M9" s="4"/>
    </row>
    <row r="10" spans="1:14" ht="18.75" customHeight="1" x14ac:dyDescent="0.25">
      <c r="A10" s="18">
        <f>IF(C10&gt;K10,C10-K10,C10-K10)</f>
        <v>0</v>
      </c>
      <c r="B10" s="82" t="s">
        <v>18</v>
      </c>
      <c r="C10" s="33"/>
      <c r="D10" s="42">
        <f>E10-J10</f>
        <v>0</v>
      </c>
      <c r="E10" s="34"/>
      <c r="F10" s="45">
        <f>G10-I10</f>
        <v>0</v>
      </c>
      <c r="G10" s="35"/>
      <c r="H10" s="36"/>
      <c r="I10" s="35"/>
      <c r="J10" s="34"/>
      <c r="K10" s="33"/>
      <c r="L10" s="24">
        <f>SUM(G10:K10)+E10+C10</f>
        <v>0</v>
      </c>
      <c r="M10" s="88">
        <f>SUM(L10:L13)</f>
        <v>0</v>
      </c>
    </row>
    <row r="11" spans="1:14" ht="105" customHeight="1" thickBot="1" x14ac:dyDescent="0.3">
      <c r="A11" s="18"/>
      <c r="B11" s="82"/>
      <c r="C11" s="37"/>
      <c r="D11" s="43"/>
      <c r="E11" s="38"/>
      <c r="F11" s="46"/>
      <c r="G11" s="39"/>
      <c r="H11" s="40"/>
      <c r="I11" s="39"/>
      <c r="J11" s="38"/>
      <c r="K11" s="37"/>
      <c r="L11" s="24"/>
      <c r="M11" s="88"/>
      <c r="N11" s="25"/>
    </row>
    <row r="12" spans="1:14" ht="18.75" customHeight="1" x14ac:dyDescent="0.25">
      <c r="A12" s="18">
        <f>IF(C12&gt;K12,C12-K12,C12-K12)</f>
        <v>0</v>
      </c>
      <c r="B12" s="82" t="s">
        <v>19</v>
      </c>
      <c r="C12" s="33"/>
      <c r="D12" s="42">
        <f>E12-J12</f>
        <v>0</v>
      </c>
      <c r="E12" s="34"/>
      <c r="F12" s="45">
        <f>G12-I12</f>
        <v>0</v>
      </c>
      <c r="G12" s="35"/>
      <c r="H12" s="41"/>
      <c r="I12" s="35"/>
      <c r="J12" s="34"/>
      <c r="K12" s="33"/>
      <c r="L12" s="24">
        <f>SUM(G12:K12)+E12+C12</f>
        <v>0</v>
      </c>
      <c r="M12" s="88"/>
      <c r="N12" s="25"/>
    </row>
    <row r="13" spans="1:14" ht="105" customHeight="1" thickBot="1" x14ac:dyDescent="0.3">
      <c r="A13" s="18"/>
      <c r="B13" s="82"/>
      <c r="C13" s="37"/>
      <c r="D13" s="43"/>
      <c r="E13" s="38"/>
      <c r="F13" s="46"/>
      <c r="G13" s="39"/>
      <c r="H13" s="40"/>
      <c r="I13" s="39"/>
      <c r="J13" s="38"/>
      <c r="K13" s="37"/>
      <c r="L13" s="24"/>
      <c r="M13" s="88"/>
      <c r="N13" s="25"/>
    </row>
    <row r="14" spans="1:14" ht="18.75" customHeight="1" x14ac:dyDescent="0.25">
      <c r="A14" s="18">
        <f>IF(C14&gt;K14,C14-K14,C14-K14)</f>
        <v>0</v>
      </c>
      <c r="B14" s="82" t="s">
        <v>20</v>
      </c>
      <c r="C14" s="33"/>
      <c r="D14" s="42">
        <f>E14-J14</f>
        <v>0</v>
      </c>
      <c r="E14" s="34"/>
      <c r="F14" s="45">
        <f>G14-I14</f>
        <v>0</v>
      </c>
      <c r="G14" s="35"/>
      <c r="H14" s="41"/>
      <c r="I14" s="35"/>
      <c r="J14" s="34"/>
      <c r="K14" s="33"/>
      <c r="L14" s="24">
        <f>(SUM(G14:K14)+E14+C14)</f>
        <v>0</v>
      </c>
      <c r="M14" s="83">
        <f>SUM(L14:L19)</f>
        <v>0</v>
      </c>
      <c r="N14" s="25"/>
    </row>
    <row r="15" spans="1:14" ht="105" customHeight="1" thickBot="1" x14ac:dyDescent="0.3">
      <c r="A15" s="18"/>
      <c r="B15" s="82"/>
      <c r="C15" s="37"/>
      <c r="D15" s="43"/>
      <c r="E15" s="38"/>
      <c r="F15" s="46"/>
      <c r="G15" s="39"/>
      <c r="H15" s="40"/>
      <c r="I15" s="39"/>
      <c r="J15" s="38"/>
      <c r="K15" s="37"/>
      <c r="L15" s="24"/>
      <c r="M15" s="83"/>
      <c r="N15" s="25"/>
    </row>
    <row r="16" spans="1:14" ht="18.75" customHeight="1" x14ac:dyDescent="0.25">
      <c r="A16" s="18">
        <f>IF(C16&gt;K16,C16-K16,C16-K16)</f>
        <v>0</v>
      </c>
      <c r="B16" s="82" t="s">
        <v>21</v>
      </c>
      <c r="C16" s="33"/>
      <c r="D16" s="42">
        <f>E16-J16</f>
        <v>0</v>
      </c>
      <c r="E16" s="34"/>
      <c r="F16" s="45">
        <f>G16-I16</f>
        <v>0</v>
      </c>
      <c r="G16" s="35"/>
      <c r="H16" s="41"/>
      <c r="I16" s="35"/>
      <c r="J16" s="34"/>
      <c r="K16" s="33"/>
      <c r="L16" s="24">
        <f>SUM(G16:K16)+E16+C16</f>
        <v>0</v>
      </c>
      <c r="M16" s="83"/>
      <c r="N16" s="26"/>
    </row>
    <row r="17" spans="1:14" ht="60.75" customHeight="1" thickBot="1" x14ac:dyDescent="0.3">
      <c r="A17" s="18"/>
      <c r="B17" s="82"/>
      <c r="C17" s="37"/>
      <c r="D17" s="43"/>
      <c r="E17" s="38"/>
      <c r="F17" s="47"/>
      <c r="G17" s="39"/>
      <c r="H17" s="40"/>
      <c r="I17" s="39"/>
      <c r="J17" s="38"/>
      <c r="K17" s="37"/>
      <c r="L17" s="27"/>
      <c r="M17" s="83"/>
      <c r="N17" s="26"/>
    </row>
    <row r="18" spans="1:14" ht="18.75" customHeight="1" x14ac:dyDescent="0.25">
      <c r="A18" s="18">
        <f>IF(C18&gt;K18,C18-K18,C18-K18)</f>
        <v>0</v>
      </c>
      <c r="B18" s="84" t="s">
        <v>22</v>
      </c>
      <c r="C18" s="33"/>
      <c r="D18" s="42">
        <f>E18-J18</f>
        <v>0</v>
      </c>
      <c r="E18" s="34"/>
      <c r="F18" s="45">
        <f>G18-I18</f>
        <v>0</v>
      </c>
      <c r="G18" s="35"/>
      <c r="H18" s="41"/>
      <c r="I18" s="35"/>
      <c r="J18" s="34"/>
      <c r="K18" s="33"/>
      <c r="L18" s="24">
        <f>SUM(G18:K18)+E18+C18</f>
        <v>0</v>
      </c>
      <c r="M18" s="83"/>
      <c r="N18" s="25"/>
    </row>
    <row r="19" spans="1:14" ht="105" customHeight="1" thickBot="1" x14ac:dyDescent="0.3">
      <c r="B19" s="84"/>
      <c r="C19" s="37"/>
      <c r="D19" s="44"/>
      <c r="E19" s="38"/>
      <c r="F19" s="47"/>
      <c r="G19" s="39"/>
      <c r="H19" s="40"/>
      <c r="I19" s="39"/>
      <c r="J19" s="38"/>
      <c r="K19" s="37"/>
      <c r="L19" s="28"/>
      <c r="M19" s="83"/>
    </row>
    <row r="20" spans="1:14" x14ac:dyDescent="0.25">
      <c r="B20" s="17"/>
      <c r="C20" s="17"/>
      <c r="D20" s="17"/>
      <c r="E20" s="17"/>
      <c r="F20" s="17"/>
      <c r="G20" s="17"/>
      <c r="I20" s="17"/>
      <c r="J20" s="17"/>
      <c r="K20" s="17"/>
      <c r="L20" s="28"/>
    </row>
    <row r="21" spans="1:14" ht="15" x14ac:dyDescent="0.25">
      <c r="B21" s="17"/>
      <c r="C21" s="17"/>
      <c r="D21" s="17"/>
      <c r="E21" s="17"/>
      <c r="F21" s="17"/>
      <c r="G21" s="17"/>
      <c r="H21" s="31">
        <f>M14-M10</f>
        <v>0</v>
      </c>
      <c r="I21" s="17"/>
      <c r="J21" s="17"/>
      <c r="K21" s="17"/>
      <c r="L21" s="28"/>
    </row>
    <row r="22" spans="1:14" x14ac:dyDescent="0.25">
      <c r="B22" s="17"/>
      <c r="C22" s="17"/>
      <c r="D22" s="17"/>
      <c r="E22" s="17"/>
      <c r="F22" s="17"/>
      <c r="G22" s="17"/>
      <c r="H22" s="23" t="s">
        <v>23</v>
      </c>
      <c r="I22" s="17"/>
      <c r="J22" s="17"/>
      <c r="K22" s="17"/>
      <c r="L22" s="17"/>
    </row>
  </sheetData>
  <mergeCells count="9">
    <mergeCell ref="B14:B15"/>
    <mergeCell ref="M14:M19"/>
    <mergeCell ref="B16:B17"/>
    <mergeCell ref="B18:B19"/>
    <mergeCell ref="H2:K3"/>
    <mergeCell ref="J6:K6"/>
    <mergeCell ref="B10:B11"/>
    <mergeCell ref="M10:M13"/>
    <mergeCell ref="B12:B13"/>
  </mergeCells>
  <phoneticPr fontId="6" type="noConversion"/>
  <printOptions horizontalCentered="1"/>
  <pageMargins left="0.23622047244094491" right="0.15748031496062992" top="0.98425196850393704" bottom="0.98425196850393704" header="0.51181102362204722" footer="0.51181102362204722"/>
  <pageSetup paperSize="9" scale="85" orientation="portrait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K57"/>
  <sheetViews>
    <sheetView workbookViewId="0">
      <selection activeCell="L6" sqref="L6"/>
    </sheetView>
  </sheetViews>
  <sheetFormatPr defaultRowHeight="13.2" x14ac:dyDescent="0.25"/>
  <cols>
    <col min="4" max="4" width="10.44140625" customWidth="1"/>
    <col min="5" max="5" width="12.109375" customWidth="1"/>
    <col min="7" max="7" width="9.44140625" customWidth="1"/>
    <col min="8" max="8" width="10.5546875" customWidth="1"/>
    <col min="10" max="10" width="9.44140625" customWidth="1"/>
  </cols>
  <sheetData>
    <row r="1" spans="1:11" x14ac:dyDescent="0.25">
      <c r="A1" t="s">
        <v>20</v>
      </c>
      <c r="B1" t="s">
        <v>27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</v>
      </c>
      <c r="J1" t="s">
        <v>7</v>
      </c>
      <c r="K1" t="s">
        <v>8</v>
      </c>
    </row>
    <row r="2" spans="1:11" x14ac:dyDescent="0.25">
      <c r="A2" s="58">
        <v>42935</v>
      </c>
      <c r="B2">
        <v>7</v>
      </c>
      <c r="C2">
        <v>1</v>
      </c>
      <c r="D2" t="s">
        <v>87</v>
      </c>
      <c r="E2" t="s">
        <v>32</v>
      </c>
      <c r="F2" t="s">
        <v>14</v>
      </c>
      <c r="G2" t="s">
        <v>101</v>
      </c>
      <c r="H2" t="s">
        <v>100</v>
      </c>
      <c r="I2" t="s">
        <v>99</v>
      </c>
      <c r="J2" t="s">
        <v>26</v>
      </c>
      <c r="K2">
        <v>18242</v>
      </c>
    </row>
    <row r="3" spans="1:11" x14ac:dyDescent="0.25">
      <c r="A3" t="s">
        <v>38</v>
      </c>
      <c r="E3" t="s">
        <v>37</v>
      </c>
      <c r="H3" t="s">
        <v>39</v>
      </c>
    </row>
    <row r="4" spans="1:11" x14ac:dyDescent="0.25">
      <c r="A4" t="s">
        <v>43</v>
      </c>
      <c r="G4">
        <v>25</v>
      </c>
    </row>
    <row r="5" spans="1:11" x14ac:dyDescent="0.25">
      <c r="A5" t="s">
        <v>53</v>
      </c>
      <c r="C5">
        <v>0</v>
      </c>
      <c r="D5">
        <v>0</v>
      </c>
      <c r="E5">
        <v>0</v>
      </c>
      <c r="F5">
        <v>0</v>
      </c>
      <c r="G5">
        <v>0</v>
      </c>
    </row>
    <row r="6" spans="1:11" x14ac:dyDescent="0.25">
      <c r="A6" t="s">
        <v>42</v>
      </c>
      <c r="C6">
        <v>0</v>
      </c>
      <c r="D6">
        <v>0</v>
      </c>
      <c r="E6">
        <v>4</v>
      </c>
      <c r="F6">
        <v>0</v>
      </c>
      <c r="G6">
        <v>0</v>
      </c>
    </row>
    <row r="7" spans="1:11" x14ac:dyDescent="0.25">
      <c r="A7" t="s">
        <v>52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25">
      <c r="A8" t="s">
        <v>47</v>
      </c>
      <c r="C8">
        <v>0</v>
      </c>
      <c r="D8">
        <v>0</v>
      </c>
      <c r="E8">
        <v>0</v>
      </c>
      <c r="F8">
        <v>0</v>
      </c>
      <c r="G8">
        <v>0</v>
      </c>
    </row>
    <row r="9" spans="1:11" x14ac:dyDescent="0.25">
      <c r="A9" t="s">
        <v>50</v>
      </c>
      <c r="C9">
        <v>0</v>
      </c>
      <c r="D9">
        <v>0</v>
      </c>
      <c r="E9">
        <v>0</v>
      </c>
      <c r="F9">
        <v>0</v>
      </c>
      <c r="G9">
        <v>0</v>
      </c>
    </row>
    <row r="10" spans="1:11" x14ac:dyDescent="0.25">
      <c r="A10" t="s">
        <v>48</v>
      </c>
      <c r="C10">
        <v>0</v>
      </c>
      <c r="D10">
        <v>0</v>
      </c>
      <c r="E10">
        <v>2</v>
      </c>
      <c r="F10">
        <v>0</v>
      </c>
      <c r="G10">
        <v>0</v>
      </c>
    </row>
    <row r="11" spans="1:11" x14ac:dyDescent="0.25">
      <c r="A11" t="s">
        <v>55</v>
      </c>
      <c r="D11">
        <v>0</v>
      </c>
      <c r="E11">
        <v>0</v>
      </c>
      <c r="F11">
        <v>0</v>
      </c>
      <c r="G11">
        <v>0</v>
      </c>
    </row>
    <row r="12" spans="1:11" x14ac:dyDescent="0.25">
      <c r="A12" t="s">
        <v>54</v>
      </c>
      <c r="C12">
        <v>0</v>
      </c>
      <c r="D12">
        <v>0</v>
      </c>
      <c r="E12">
        <v>1</v>
      </c>
      <c r="F12">
        <v>0</v>
      </c>
      <c r="G12">
        <v>0</v>
      </c>
      <c r="H12" t="s">
        <v>41</v>
      </c>
      <c r="I12">
        <v>24</v>
      </c>
    </row>
    <row r="13" spans="1:11" x14ac:dyDescent="0.25">
      <c r="A13" t="s">
        <v>49</v>
      </c>
      <c r="C13">
        <v>0</v>
      </c>
      <c r="D13">
        <v>0</v>
      </c>
      <c r="E13">
        <v>5</v>
      </c>
      <c r="F13">
        <v>0</v>
      </c>
      <c r="G13">
        <v>0</v>
      </c>
      <c r="H13" t="s">
        <v>56</v>
      </c>
      <c r="I13">
        <v>1</v>
      </c>
    </row>
    <row r="14" spans="1:11" x14ac:dyDescent="0.25">
      <c r="A14" t="s">
        <v>31</v>
      </c>
      <c r="C14">
        <v>0</v>
      </c>
      <c r="D14">
        <v>1</v>
      </c>
      <c r="E14">
        <v>0</v>
      </c>
      <c r="F14">
        <v>0</v>
      </c>
      <c r="G14">
        <v>0</v>
      </c>
      <c r="H14" t="s">
        <v>42</v>
      </c>
      <c r="I14">
        <v>4</v>
      </c>
    </row>
    <row r="15" spans="1:11" x14ac:dyDescent="0.25">
      <c r="A15" t="s">
        <v>58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48</v>
      </c>
      <c r="I15">
        <v>2</v>
      </c>
    </row>
    <row r="16" spans="1:11" x14ac:dyDescent="0.25">
      <c r="A16" t="s">
        <v>45</v>
      </c>
      <c r="C16">
        <v>0</v>
      </c>
      <c r="D16">
        <v>0</v>
      </c>
      <c r="E16">
        <v>0</v>
      </c>
      <c r="F16">
        <v>0</v>
      </c>
      <c r="H16" t="s">
        <v>49</v>
      </c>
      <c r="I16">
        <v>5</v>
      </c>
    </row>
    <row r="17" spans="1:9" x14ac:dyDescent="0.25">
      <c r="A17" t="s">
        <v>51</v>
      </c>
      <c r="D17">
        <v>0</v>
      </c>
      <c r="E17">
        <v>0</v>
      </c>
      <c r="F17">
        <v>0</v>
      </c>
      <c r="H17" t="s">
        <v>30</v>
      </c>
      <c r="I17">
        <v>8</v>
      </c>
    </row>
    <row r="18" spans="1:9" x14ac:dyDescent="0.25">
      <c r="A18" t="s">
        <v>56</v>
      </c>
      <c r="C18">
        <v>0</v>
      </c>
      <c r="D18">
        <v>0</v>
      </c>
      <c r="E18">
        <v>1</v>
      </c>
      <c r="F18">
        <v>0</v>
      </c>
      <c r="G18">
        <v>0</v>
      </c>
      <c r="H18" t="s">
        <v>24</v>
      </c>
      <c r="I18">
        <v>1</v>
      </c>
    </row>
    <row r="19" spans="1:9" x14ac:dyDescent="0.25">
      <c r="A19" t="s">
        <v>44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40</v>
      </c>
    </row>
    <row r="20" spans="1:9" x14ac:dyDescent="0.25">
      <c r="A20" t="s">
        <v>57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26</v>
      </c>
      <c r="I20">
        <v>1</v>
      </c>
    </row>
    <row r="21" spans="1:9" x14ac:dyDescent="0.25">
      <c r="A21" t="s">
        <v>46</v>
      </c>
      <c r="C21">
        <v>0</v>
      </c>
      <c r="D21">
        <v>0</v>
      </c>
      <c r="E21">
        <v>3</v>
      </c>
      <c r="F21">
        <v>0</v>
      </c>
    </row>
    <row r="22" spans="1:9" x14ac:dyDescent="0.25">
      <c r="A22" s="58">
        <v>42935</v>
      </c>
      <c r="B22">
        <v>7</v>
      </c>
      <c r="C22">
        <v>37</v>
      </c>
      <c r="D22" t="s">
        <v>87</v>
      </c>
    </row>
    <row r="23" spans="1:9" x14ac:dyDescent="0.25">
      <c r="A23" s="58">
        <v>42935</v>
      </c>
      <c r="B23">
        <v>7</v>
      </c>
      <c r="C23">
        <v>36</v>
      </c>
      <c r="D23" t="s">
        <v>87</v>
      </c>
    </row>
    <row r="24" spans="1:9" x14ac:dyDescent="0.25">
      <c r="A24" s="58">
        <v>42935</v>
      </c>
      <c r="B24">
        <v>7</v>
      </c>
      <c r="C24">
        <v>35</v>
      </c>
      <c r="D24" t="s">
        <v>87</v>
      </c>
    </row>
    <row r="25" spans="1:9" x14ac:dyDescent="0.25">
      <c r="A25" s="58">
        <v>42935</v>
      </c>
      <c r="B25">
        <v>7</v>
      </c>
      <c r="C25">
        <v>34</v>
      </c>
      <c r="D25" t="s">
        <v>87</v>
      </c>
    </row>
    <row r="26" spans="1:9" x14ac:dyDescent="0.25">
      <c r="A26" s="58">
        <v>42935</v>
      </c>
      <c r="B26">
        <v>7</v>
      </c>
      <c r="C26">
        <v>33</v>
      </c>
      <c r="D26" t="s">
        <v>87</v>
      </c>
    </row>
    <row r="27" spans="1:9" x14ac:dyDescent="0.25">
      <c r="A27" s="58">
        <v>42935</v>
      </c>
      <c r="B27">
        <v>7</v>
      </c>
      <c r="C27">
        <v>32</v>
      </c>
      <c r="D27" t="s">
        <v>87</v>
      </c>
    </row>
    <row r="28" spans="1:9" x14ac:dyDescent="0.25">
      <c r="A28" s="58">
        <v>42935</v>
      </c>
      <c r="B28">
        <v>7</v>
      </c>
      <c r="C28">
        <v>31</v>
      </c>
      <c r="D28" t="s">
        <v>87</v>
      </c>
    </row>
    <row r="29" spans="1:9" x14ac:dyDescent="0.25">
      <c r="A29" s="58">
        <v>42935</v>
      </c>
      <c r="B29">
        <v>7</v>
      </c>
      <c r="C29">
        <v>30</v>
      </c>
      <c r="D29" t="s">
        <v>87</v>
      </c>
    </row>
    <row r="30" spans="1:9" x14ac:dyDescent="0.25">
      <c r="A30" s="58">
        <v>42935</v>
      </c>
      <c r="B30">
        <v>7</v>
      </c>
      <c r="C30">
        <v>29</v>
      </c>
      <c r="D30" t="s">
        <v>87</v>
      </c>
    </row>
    <row r="31" spans="1:9" x14ac:dyDescent="0.25">
      <c r="A31" s="58">
        <v>42935</v>
      </c>
      <c r="B31">
        <v>7</v>
      </c>
      <c r="C31">
        <v>28</v>
      </c>
      <c r="D31" t="s">
        <v>87</v>
      </c>
    </row>
    <row r="32" spans="1:9" x14ac:dyDescent="0.25">
      <c r="A32" s="58">
        <v>42935</v>
      </c>
      <c r="B32">
        <v>7</v>
      </c>
      <c r="C32">
        <v>27</v>
      </c>
      <c r="D32" t="s">
        <v>87</v>
      </c>
    </row>
    <row r="33" spans="1:11" x14ac:dyDescent="0.25">
      <c r="A33" s="58">
        <v>42935</v>
      </c>
      <c r="B33">
        <v>7</v>
      </c>
      <c r="C33">
        <v>26</v>
      </c>
      <c r="D33" t="s">
        <v>87</v>
      </c>
    </row>
    <row r="34" spans="1:11" x14ac:dyDescent="0.25">
      <c r="A34" s="58">
        <v>42935</v>
      </c>
      <c r="B34">
        <v>7</v>
      </c>
      <c r="C34">
        <v>2</v>
      </c>
      <c r="D34" t="s">
        <v>87</v>
      </c>
      <c r="E34" t="s">
        <v>32</v>
      </c>
      <c r="F34" t="s">
        <v>14</v>
      </c>
      <c r="G34" t="s">
        <v>81</v>
      </c>
      <c r="H34" t="s">
        <v>98</v>
      </c>
      <c r="I34">
        <v>77</v>
      </c>
      <c r="J34" t="s">
        <v>29</v>
      </c>
      <c r="K34">
        <v>22432</v>
      </c>
    </row>
    <row r="35" spans="1:11" x14ac:dyDescent="0.25">
      <c r="A35" s="58">
        <v>42935</v>
      </c>
      <c r="B35">
        <v>7</v>
      </c>
      <c r="C35">
        <v>23</v>
      </c>
      <c r="D35" t="s">
        <v>87</v>
      </c>
      <c r="E35" t="s">
        <v>24</v>
      </c>
      <c r="F35" t="s">
        <v>25</v>
      </c>
      <c r="G35" t="s">
        <v>78</v>
      </c>
      <c r="H35">
        <v>230689</v>
      </c>
      <c r="I35">
        <v>20</v>
      </c>
      <c r="J35" t="s">
        <v>24</v>
      </c>
      <c r="K35">
        <v>1680</v>
      </c>
    </row>
    <row r="36" spans="1:11" x14ac:dyDescent="0.25">
      <c r="A36" s="58">
        <v>42935</v>
      </c>
      <c r="B36">
        <v>7</v>
      </c>
      <c r="C36">
        <v>10</v>
      </c>
      <c r="D36" t="s">
        <v>87</v>
      </c>
      <c r="E36" t="s">
        <v>32</v>
      </c>
      <c r="F36" t="s">
        <v>25</v>
      </c>
      <c r="G36" t="s">
        <v>79</v>
      </c>
      <c r="H36">
        <v>123</v>
      </c>
      <c r="I36">
        <v>1082</v>
      </c>
      <c r="J36" t="s">
        <v>30</v>
      </c>
      <c r="K36">
        <v>12016</v>
      </c>
    </row>
    <row r="37" spans="1:11" x14ac:dyDescent="0.25">
      <c r="A37" s="58">
        <v>42935</v>
      </c>
      <c r="B37">
        <v>7</v>
      </c>
      <c r="C37">
        <v>9</v>
      </c>
      <c r="D37" t="s">
        <v>87</v>
      </c>
      <c r="E37" t="s">
        <v>32</v>
      </c>
      <c r="F37" t="s">
        <v>25</v>
      </c>
      <c r="G37" t="s">
        <v>80</v>
      </c>
      <c r="H37">
        <v>120</v>
      </c>
      <c r="I37">
        <v>2070</v>
      </c>
      <c r="J37" t="s">
        <v>30</v>
      </c>
      <c r="K37">
        <v>24578</v>
      </c>
    </row>
    <row r="38" spans="1:11" x14ac:dyDescent="0.25">
      <c r="A38" s="58">
        <v>42935</v>
      </c>
      <c r="B38">
        <v>7</v>
      </c>
      <c r="C38">
        <v>8</v>
      </c>
      <c r="D38" t="s">
        <v>87</v>
      </c>
      <c r="E38" t="s">
        <v>32</v>
      </c>
      <c r="F38" t="s">
        <v>25</v>
      </c>
      <c r="G38" t="s">
        <v>82</v>
      </c>
      <c r="H38">
        <v>117</v>
      </c>
      <c r="I38">
        <v>2008</v>
      </c>
      <c r="J38" t="s">
        <v>30</v>
      </c>
      <c r="K38">
        <v>23734</v>
      </c>
    </row>
    <row r="39" spans="1:11" x14ac:dyDescent="0.25">
      <c r="A39" s="58">
        <v>42935</v>
      </c>
      <c r="B39">
        <v>7</v>
      </c>
      <c r="C39">
        <v>7</v>
      </c>
      <c r="D39" t="s">
        <v>87</v>
      </c>
      <c r="E39" t="s">
        <v>32</v>
      </c>
      <c r="F39" t="s">
        <v>25</v>
      </c>
      <c r="G39" t="s">
        <v>83</v>
      </c>
      <c r="H39">
        <v>115</v>
      </c>
      <c r="I39">
        <v>1770</v>
      </c>
      <c r="J39" t="s">
        <v>30</v>
      </c>
      <c r="K39">
        <v>24738</v>
      </c>
    </row>
    <row r="40" spans="1:11" x14ac:dyDescent="0.25">
      <c r="A40" s="58">
        <v>42935</v>
      </c>
      <c r="B40">
        <v>7</v>
      </c>
      <c r="C40">
        <v>6</v>
      </c>
      <c r="D40" t="s">
        <v>87</v>
      </c>
      <c r="E40" t="s">
        <v>32</v>
      </c>
      <c r="F40" t="s">
        <v>25</v>
      </c>
      <c r="G40" t="s">
        <v>81</v>
      </c>
      <c r="H40">
        <v>114</v>
      </c>
      <c r="I40">
        <v>1795</v>
      </c>
      <c r="J40" t="s">
        <v>30</v>
      </c>
      <c r="K40">
        <v>23189</v>
      </c>
    </row>
    <row r="41" spans="1:11" x14ac:dyDescent="0.25">
      <c r="A41" s="58">
        <v>42935</v>
      </c>
      <c r="B41">
        <v>7</v>
      </c>
      <c r="C41">
        <v>5</v>
      </c>
      <c r="D41" t="s">
        <v>87</v>
      </c>
      <c r="E41" t="s">
        <v>46</v>
      </c>
      <c r="F41" t="s">
        <v>25</v>
      </c>
      <c r="G41" t="s">
        <v>86</v>
      </c>
      <c r="H41">
        <v>119</v>
      </c>
      <c r="I41">
        <v>1814</v>
      </c>
      <c r="J41" t="s">
        <v>30</v>
      </c>
      <c r="K41">
        <v>23136</v>
      </c>
    </row>
    <row r="42" spans="1:11" x14ac:dyDescent="0.25">
      <c r="A42" s="58">
        <v>42935</v>
      </c>
      <c r="B42">
        <v>7</v>
      </c>
      <c r="C42">
        <v>4</v>
      </c>
      <c r="D42" t="s">
        <v>87</v>
      </c>
      <c r="E42" t="s">
        <v>46</v>
      </c>
      <c r="F42" t="s">
        <v>25</v>
      </c>
      <c r="G42" t="s">
        <v>85</v>
      </c>
      <c r="H42">
        <v>113</v>
      </c>
      <c r="I42">
        <v>2125</v>
      </c>
      <c r="J42" t="s">
        <v>30</v>
      </c>
      <c r="K42">
        <v>22088</v>
      </c>
    </row>
    <row r="43" spans="1:11" x14ac:dyDescent="0.25">
      <c r="A43" s="58">
        <v>42935</v>
      </c>
      <c r="B43">
        <v>7</v>
      </c>
      <c r="C43">
        <v>3</v>
      </c>
      <c r="D43" t="s">
        <v>87</v>
      </c>
      <c r="E43" t="s">
        <v>46</v>
      </c>
      <c r="F43" t="s">
        <v>25</v>
      </c>
      <c r="G43" t="s">
        <v>84</v>
      </c>
      <c r="H43">
        <v>112</v>
      </c>
      <c r="I43">
        <v>1639</v>
      </c>
      <c r="J43" t="s">
        <v>30</v>
      </c>
      <c r="K43">
        <v>22792</v>
      </c>
    </row>
    <row r="44" spans="1:11" x14ac:dyDescent="0.25">
      <c r="A44" s="58">
        <v>42935</v>
      </c>
      <c r="B44">
        <v>7</v>
      </c>
      <c r="C44">
        <v>15</v>
      </c>
      <c r="D44" t="s">
        <v>87</v>
      </c>
      <c r="E44" t="s">
        <v>49</v>
      </c>
      <c r="F44" t="s">
        <v>25</v>
      </c>
      <c r="G44" t="s">
        <v>62</v>
      </c>
      <c r="H44" t="s">
        <v>96</v>
      </c>
      <c r="I44" t="s">
        <v>97</v>
      </c>
      <c r="J44" t="s">
        <v>49</v>
      </c>
      <c r="K44">
        <v>23705</v>
      </c>
    </row>
    <row r="45" spans="1:11" x14ac:dyDescent="0.25">
      <c r="A45" s="58">
        <v>42935</v>
      </c>
      <c r="B45">
        <v>7</v>
      </c>
      <c r="C45">
        <v>14</v>
      </c>
      <c r="D45" t="s">
        <v>87</v>
      </c>
      <c r="E45" t="s">
        <v>49</v>
      </c>
      <c r="F45" t="s">
        <v>25</v>
      </c>
      <c r="G45" t="s">
        <v>59</v>
      </c>
      <c r="H45" t="s">
        <v>91</v>
      </c>
      <c r="I45" t="s">
        <v>92</v>
      </c>
      <c r="J45" t="s">
        <v>49</v>
      </c>
      <c r="K45">
        <v>24468</v>
      </c>
    </row>
    <row r="46" spans="1:11" x14ac:dyDescent="0.25">
      <c r="A46" s="58">
        <v>42935</v>
      </c>
      <c r="B46">
        <v>7</v>
      </c>
      <c r="C46">
        <v>13</v>
      </c>
      <c r="D46" t="s">
        <v>87</v>
      </c>
      <c r="E46" t="s">
        <v>49</v>
      </c>
      <c r="F46" t="s">
        <v>25</v>
      </c>
      <c r="G46" t="s">
        <v>64</v>
      </c>
      <c r="H46" t="s">
        <v>65</v>
      </c>
      <c r="I46" t="s">
        <v>61</v>
      </c>
      <c r="J46" t="s">
        <v>49</v>
      </c>
      <c r="K46">
        <v>25970</v>
      </c>
    </row>
    <row r="47" spans="1:11" x14ac:dyDescent="0.25">
      <c r="A47" s="58">
        <v>42935</v>
      </c>
      <c r="B47">
        <v>7</v>
      </c>
      <c r="C47">
        <v>12</v>
      </c>
      <c r="D47" t="s">
        <v>87</v>
      </c>
      <c r="E47" t="s">
        <v>49</v>
      </c>
      <c r="F47" t="s">
        <v>25</v>
      </c>
      <c r="G47" t="s">
        <v>62</v>
      </c>
      <c r="H47" t="s">
        <v>63</v>
      </c>
      <c r="I47" t="s">
        <v>61</v>
      </c>
      <c r="J47" t="s">
        <v>49</v>
      </c>
      <c r="K47">
        <v>25970</v>
      </c>
    </row>
    <row r="48" spans="1:11" x14ac:dyDescent="0.25">
      <c r="A48" s="58">
        <v>42935</v>
      </c>
      <c r="B48">
        <v>7</v>
      </c>
      <c r="C48">
        <v>11</v>
      </c>
      <c r="D48" t="s">
        <v>87</v>
      </c>
      <c r="E48" t="s">
        <v>49</v>
      </c>
      <c r="F48" t="s">
        <v>25</v>
      </c>
      <c r="G48" t="s">
        <v>59</v>
      </c>
      <c r="H48" t="s">
        <v>60</v>
      </c>
      <c r="I48" t="s">
        <v>61</v>
      </c>
      <c r="J48" t="s">
        <v>49</v>
      </c>
      <c r="K48">
        <v>25970</v>
      </c>
    </row>
    <row r="49" spans="1:11" x14ac:dyDescent="0.25">
      <c r="A49" s="58">
        <v>42935</v>
      </c>
      <c r="B49">
        <v>7</v>
      </c>
      <c r="C49">
        <v>21</v>
      </c>
      <c r="D49" t="s">
        <v>87</v>
      </c>
      <c r="E49" t="s">
        <v>48</v>
      </c>
      <c r="F49" t="s">
        <v>25</v>
      </c>
      <c r="G49" t="s">
        <v>75</v>
      </c>
      <c r="H49" t="s">
        <v>95</v>
      </c>
      <c r="I49" t="s">
        <v>71</v>
      </c>
      <c r="J49" t="s">
        <v>48</v>
      </c>
      <c r="K49">
        <v>37359</v>
      </c>
    </row>
    <row r="50" spans="1:11" x14ac:dyDescent="0.25">
      <c r="A50" s="58">
        <v>42935</v>
      </c>
      <c r="B50">
        <v>7</v>
      </c>
      <c r="C50">
        <v>20</v>
      </c>
      <c r="D50" t="s">
        <v>87</v>
      </c>
      <c r="E50" t="s">
        <v>48</v>
      </c>
      <c r="F50" t="s">
        <v>25</v>
      </c>
      <c r="G50" t="s">
        <v>75</v>
      </c>
      <c r="H50" t="s">
        <v>76</v>
      </c>
      <c r="I50" t="s">
        <v>77</v>
      </c>
      <c r="J50" t="s">
        <v>48</v>
      </c>
      <c r="K50">
        <v>33131</v>
      </c>
    </row>
    <row r="51" spans="1:11" x14ac:dyDescent="0.25">
      <c r="A51" s="58">
        <v>42935</v>
      </c>
      <c r="B51">
        <v>7</v>
      </c>
      <c r="C51">
        <v>19</v>
      </c>
      <c r="D51" t="s">
        <v>87</v>
      </c>
      <c r="E51" t="s">
        <v>42</v>
      </c>
      <c r="F51" t="s">
        <v>25</v>
      </c>
      <c r="G51" t="s">
        <v>66</v>
      </c>
      <c r="H51" t="s">
        <v>93</v>
      </c>
      <c r="I51" t="s">
        <v>94</v>
      </c>
      <c r="J51" t="s">
        <v>42</v>
      </c>
      <c r="K51">
        <v>36076</v>
      </c>
    </row>
    <row r="52" spans="1:11" x14ac:dyDescent="0.25">
      <c r="A52" s="58">
        <v>42935</v>
      </c>
      <c r="B52">
        <v>7</v>
      </c>
      <c r="C52">
        <v>18</v>
      </c>
      <c r="D52" t="s">
        <v>87</v>
      </c>
      <c r="E52" t="s">
        <v>42</v>
      </c>
      <c r="F52" t="s">
        <v>25</v>
      </c>
      <c r="G52" t="s">
        <v>72</v>
      </c>
      <c r="H52" t="s">
        <v>73</v>
      </c>
      <c r="I52" t="s">
        <v>74</v>
      </c>
      <c r="J52" t="s">
        <v>42</v>
      </c>
      <c r="K52">
        <v>35811</v>
      </c>
    </row>
    <row r="53" spans="1:11" x14ac:dyDescent="0.25">
      <c r="A53" s="58">
        <v>42935</v>
      </c>
      <c r="B53">
        <v>7</v>
      </c>
      <c r="C53">
        <v>17</v>
      </c>
      <c r="D53" t="s">
        <v>87</v>
      </c>
      <c r="E53" t="s">
        <v>42</v>
      </c>
      <c r="F53" t="s">
        <v>25</v>
      </c>
      <c r="G53" t="s">
        <v>69</v>
      </c>
      <c r="H53" t="s">
        <v>70</v>
      </c>
      <c r="I53" t="s">
        <v>71</v>
      </c>
      <c r="J53" t="s">
        <v>42</v>
      </c>
      <c r="K53">
        <v>36319</v>
      </c>
    </row>
    <row r="54" spans="1:11" x14ac:dyDescent="0.25">
      <c r="A54" s="58">
        <v>42935</v>
      </c>
      <c r="B54">
        <v>7</v>
      </c>
      <c r="C54">
        <v>16</v>
      </c>
      <c r="D54" t="s">
        <v>87</v>
      </c>
      <c r="E54" t="s">
        <v>42</v>
      </c>
      <c r="F54" t="s">
        <v>25</v>
      </c>
      <c r="G54" t="s">
        <v>66</v>
      </c>
      <c r="H54" t="s">
        <v>67</v>
      </c>
      <c r="I54" t="s">
        <v>68</v>
      </c>
      <c r="J54" t="s">
        <v>42</v>
      </c>
      <c r="K54">
        <v>37608</v>
      </c>
    </row>
    <row r="55" spans="1:11" x14ac:dyDescent="0.25">
      <c r="A55" s="58">
        <v>42935</v>
      </c>
      <c r="B55">
        <v>7</v>
      </c>
      <c r="C55">
        <v>24</v>
      </c>
      <c r="D55" t="s">
        <v>87</v>
      </c>
      <c r="E55" t="s">
        <v>56</v>
      </c>
      <c r="F55" t="s">
        <v>25</v>
      </c>
      <c r="G55" t="s">
        <v>62</v>
      </c>
      <c r="H55">
        <v>5655</v>
      </c>
      <c r="I55">
        <v>35</v>
      </c>
      <c r="J55" t="s">
        <v>56</v>
      </c>
      <c r="K55">
        <v>35046</v>
      </c>
    </row>
    <row r="56" spans="1:11" x14ac:dyDescent="0.25">
      <c r="A56" s="58">
        <v>42935</v>
      </c>
      <c r="B56">
        <v>7</v>
      </c>
      <c r="C56">
        <v>22</v>
      </c>
      <c r="D56" t="s">
        <v>87</v>
      </c>
      <c r="E56" t="s">
        <v>54</v>
      </c>
      <c r="F56" t="s">
        <v>25</v>
      </c>
      <c r="G56" t="s">
        <v>88</v>
      </c>
      <c r="H56" t="s">
        <v>89</v>
      </c>
      <c r="I56" t="s">
        <v>90</v>
      </c>
      <c r="J56" t="s">
        <v>54</v>
      </c>
      <c r="K56">
        <v>34231</v>
      </c>
    </row>
    <row r="57" spans="1:11" x14ac:dyDescent="0.25">
      <c r="A57" s="58">
        <v>42935</v>
      </c>
      <c r="B57">
        <v>7</v>
      </c>
      <c r="C57">
        <v>25</v>
      </c>
      <c r="D57" t="s">
        <v>87</v>
      </c>
      <c r="E57" t="s">
        <v>31</v>
      </c>
      <c r="F57" t="s">
        <v>13</v>
      </c>
      <c r="G57" t="s">
        <v>102</v>
      </c>
      <c r="H57" t="s">
        <v>103</v>
      </c>
      <c r="I57">
        <v>1648</v>
      </c>
      <c r="J57" t="s">
        <v>31</v>
      </c>
      <c r="K57">
        <v>20842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50F5-44E8-4CE8-8797-B4D04ADA1B40}">
  <dimension ref="A1:I68"/>
  <sheetViews>
    <sheetView workbookViewId="0">
      <selection activeCell="H4" sqref="H4"/>
    </sheetView>
  </sheetViews>
  <sheetFormatPr defaultRowHeight="13.2" x14ac:dyDescent="0.25"/>
  <cols>
    <col min="1" max="1" width="10.5546875" bestFit="1" customWidth="1"/>
    <col min="2" max="2" width="9.5546875" bestFit="1" customWidth="1"/>
    <col min="3" max="3" width="12.109375" bestFit="1" customWidth="1"/>
    <col min="4" max="4" width="12.88671875" bestFit="1" customWidth="1"/>
    <col min="5" max="5" width="32.33203125" customWidth="1"/>
    <col min="6" max="6" width="25.5546875" customWidth="1"/>
    <col min="7" max="7" width="23.6640625" bestFit="1" customWidth="1"/>
    <col min="8" max="8" width="23.109375" bestFit="1" customWidth="1"/>
    <col min="9" max="9" width="12.44140625" bestFit="1" customWidth="1"/>
  </cols>
  <sheetData>
    <row r="1" spans="1:9" ht="13.8" thickBot="1" x14ac:dyDescent="0.3">
      <c r="A1" s="59" t="s">
        <v>0</v>
      </c>
      <c r="B1" s="60" t="s">
        <v>27</v>
      </c>
      <c r="C1" s="61" t="s">
        <v>28</v>
      </c>
      <c r="D1" s="62" t="s">
        <v>2</v>
      </c>
      <c r="E1" s="60" t="s">
        <v>3</v>
      </c>
      <c r="F1" s="60" t="s">
        <v>4</v>
      </c>
      <c r="G1" s="63" t="s">
        <v>104</v>
      </c>
      <c r="H1" s="63" t="s">
        <v>105</v>
      </c>
      <c r="I1" s="64" t="s">
        <v>106</v>
      </c>
    </row>
    <row r="2" spans="1:9" ht="13.8" thickTop="1" x14ac:dyDescent="0.25">
      <c r="A2" s="55">
        <v>45574</v>
      </c>
      <c r="B2" s="56">
        <v>10</v>
      </c>
      <c r="C2" s="57">
        <f>IF(A2=A1,C1+1,1)</f>
        <v>1</v>
      </c>
      <c r="D2" s="57" t="s">
        <v>150</v>
      </c>
      <c r="E2" s="56" t="s">
        <v>46</v>
      </c>
      <c r="F2" s="57" t="s">
        <v>14</v>
      </c>
      <c r="G2" s="65" t="s">
        <v>151</v>
      </c>
      <c r="H2" s="65" t="s">
        <v>152</v>
      </c>
      <c r="I2" s="66">
        <v>84</v>
      </c>
    </row>
    <row r="3" spans="1:9" x14ac:dyDescent="0.25">
      <c r="A3" s="55">
        <v>45574</v>
      </c>
      <c r="B3" s="56">
        <v>10</v>
      </c>
      <c r="C3" s="57">
        <f t="shared" ref="C3:C66" si="0">IF(A3=A2,C2+1,1)</f>
        <v>2</v>
      </c>
      <c r="D3" s="57" t="s">
        <v>150</v>
      </c>
      <c r="E3" s="56" t="s">
        <v>46</v>
      </c>
      <c r="F3" s="57" t="s">
        <v>14</v>
      </c>
      <c r="G3" s="65" t="s">
        <v>111</v>
      </c>
      <c r="H3" s="65" t="s">
        <v>153</v>
      </c>
      <c r="I3" s="66">
        <v>84</v>
      </c>
    </row>
    <row r="4" spans="1:9" x14ac:dyDescent="0.25">
      <c r="A4" s="55">
        <v>45574</v>
      </c>
      <c r="B4" s="56">
        <v>10</v>
      </c>
      <c r="C4" s="57">
        <f t="shared" si="0"/>
        <v>3</v>
      </c>
      <c r="D4" s="57" t="s">
        <v>150</v>
      </c>
      <c r="E4" s="56" t="s">
        <v>46</v>
      </c>
      <c r="F4" s="57" t="s">
        <v>14</v>
      </c>
      <c r="G4" s="65" t="s">
        <v>111</v>
      </c>
      <c r="H4" s="65" t="s">
        <v>154</v>
      </c>
      <c r="I4" s="66" t="s">
        <v>155</v>
      </c>
    </row>
    <row r="5" spans="1:9" x14ac:dyDescent="0.25">
      <c r="A5" s="55">
        <v>45574</v>
      </c>
      <c r="B5" s="56">
        <v>10</v>
      </c>
      <c r="C5" s="57">
        <f t="shared" si="0"/>
        <v>4</v>
      </c>
      <c r="D5" s="57" t="s">
        <v>150</v>
      </c>
      <c r="E5" s="56" t="s">
        <v>46</v>
      </c>
      <c r="F5" s="57" t="s">
        <v>14</v>
      </c>
      <c r="G5" s="65" t="s">
        <v>156</v>
      </c>
      <c r="H5" s="65" t="s">
        <v>157</v>
      </c>
      <c r="I5" s="66">
        <v>82</v>
      </c>
    </row>
    <row r="6" spans="1:9" x14ac:dyDescent="0.25">
      <c r="A6" s="55">
        <v>45574</v>
      </c>
      <c r="B6" s="56">
        <v>10</v>
      </c>
      <c r="C6" s="57">
        <f t="shared" si="0"/>
        <v>5</v>
      </c>
      <c r="D6" s="57" t="s">
        <v>150</v>
      </c>
      <c r="E6" s="56" t="s">
        <v>46</v>
      </c>
      <c r="F6" s="57" t="s">
        <v>14</v>
      </c>
      <c r="G6" s="65" t="s">
        <v>158</v>
      </c>
      <c r="H6" s="65" t="s">
        <v>159</v>
      </c>
      <c r="I6" s="66">
        <v>87</v>
      </c>
    </row>
    <row r="7" spans="1:9" x14ac:dyDescent="0.25">
      <c r="A7" s="55">
        <v>45574</v>
      </c>
      <c r="B7" s="56">
        <v>10</v>
      </c>
      <c r="C7" s="57">
        <f t="shared" si="0"/>
        <v>6</v>
      </c>
      <c r="D7" s="57" t="s">
        <v>150</v>
      </c>
      <c r="E7" s="56" t="s">
        <v>46</v>
      </c>
      <c r="F7" s="57" t="s">
        <v>14</v>
      </c>
      <c r="G7" s="65" t="s">
        <v>160</v>
      </c>
      <c r="H7" s="65" t="s">
        <v>161</v>
      </c>
      <c r="I7" s="66">
        <v>72</v>
      </c>
    </row>
    <row r="8" spans="1:9" x14ac:dyDescent="0.25">
      <c r="A8" s="55">
        <v>45574</v>
      </c>
      <c r="B8" s="56">
        <v>10</v>
      </c>
      <c r="C8" s="57">
        <f t="shared" si="0"/>
        <v>7</v>
      </c>
      <c r="D8" s="57" t="s">
        <v>150</v>
      </c>
      <c r="E8" s="56" t="s">
        <v>46</v>
      </c>
      <c r="F8" s="57" t="s">
        <v>14</v>
      </c>
      <c r="G8" s="65" t="s">
        <v>162</v>
      </c>
      <c r="H8" s="65" t="s">
        <v>163</v>
      </c>
      <c r="I8" s="66">
        <v>72</v>
      </c>
    </row>
    <row r="9" spans="1:9" x14ac:dyDescent="0.25">
      <c r="A9" s="55">
        <v>45574</v>
      </c>
      <c r="B9" s="56">
        <v>10</v>
      </c>
      <c r="C9" s="57">
        <f t="shared" si="0"/>
        <v>8</v>
      </c>
      <c r="D9" s="57" t="s">
        <v>150</v>
      </c>
      <c r="E9" s="56" t="s">
        <v>46</v>
      </c>
      <c r="F9" s="57" t="s">
        <v>14</v>
      </c>
      <c r="G9" s="65" t="s">
        <v>164</v>
      </c>
      <c r="H9" s="65" t="s">
        <v>165</v>
      </c>
      <c r="I9" s="66">
        <v>71</v>
      </c>
    </row>
    <row r="10" spans="1:9" x14ac:dyDescent="0.25">
      <c r="A10" s="55">
        <v>45574</v>
      </c>
      <c r="B10" s="56">
        <v>10</v>
      </c>
      <c r="C10" s="57">
        <f t="shared" si="0"/>
        <v>9</v>
      </c>
      <c r="D10" s="57" t="s">
        <v>150</v>
      </c>
      <c r="E10" s="56" t="s">
        <v>46</v>
      </c>
      <c r="F10" s="57" t="s">
        <v>14</v>
      </c>
      <c r="G10" s="65" t="s">
        <v>166</v>
      </c>
      <c r="H10" s="65" t="s">
        <v>167</v>
      </c>
      <c r="I10" s="66">
        <v>73</v>
      </c>
    </row>
    <row r="11" spans="1:9" x14ac:dyDescent="0.25">
      <c r="A11" s="55">
        <v>45574</v>
      </c>
      <c r="B11" s="56">
        <v>10</v>
      </c>
      <c r="C11" s="57">
        <f t="shared" si="0"/>
        <v>10</v>
      </c>
      <c r="D11" s="57" t="s">
        <v>150</v>
      </c>
      <c r="E11" s="56" t="s">
        <v>46</v>
      </c>
      <c r="F11" s="57" t="s">
        <v>14</v>
      </c>
      <c r="G11" s="65" t="s">
        <v>168</v>
      </c>
      <c r="H11" s="65" t="s">
        <v>169</v>
      </c>
      <c r="I11" s="66">
        <v>72</v>
      </c>
    </row>
    <row r="12" spans="1:9" x14ac:dyDescent="0.25">
      <c r="A12" s="55">
        <v>45574</v>
      </c>
      <c r="B12" s="56">
        <v>10</v>
      </c>
      <c r="C12" s="57">
        <f t="shared" si="0"/>
        <v>11</v>
      </c>
      <c r="D12" s="57" t="s">
        <v>150</v>
      </c>
      <c r="E12" s="56" t="s">
        <v>46</v>
      </c>
      <c r="F12" s="57" t="s">
        <v>14</v>
      </c>
      <c r="G12" s="65" t="s">
        <v>170</v>
      </c>
      <c r="H12" s="65" t="s">
        <v>171</v>
      </c>
      <c r="I12" s="66">
        <v>72</v>
      </c>
    </row>
    <row r="13" spans="1:9" x14ac:dyDescent="0.25">
      <c r="A13" s="55">
        <v>45574</v>
      </c>
      <c r="B13" s="56">
        <v>10</v>
      </c>
      <c r="C13" s="57">
        <f t="shared" si="0"/>
        <v>12</v>
      </c>
      <c r="D13" s="57" t="s">
        <v>150</v>
      </c>
      <c r="E13" s="56" t="s">
        <v>46</v>
      </c>
      <c r="F13" s="57" t="s">
        <v>14</v>
      </c>
      <c r="G13" s="65" t="s">
        <v>172</v>
      </c>
      <c r="H13" s="65" t="s">
        <v>173</v>
      </c>
      <c r="I13" s="66">
        <v>72</v>
      </c>
    </row>
    <row r="14" spans="1:9" x14ac:dyDescent="0.25">
      <c r="A14" s="55">
        <v>45574</v>
      </c>
      <c r="B14" s="56">
        <v>10</v>
      </c>
      <c r="C14" s="57">
        <f t="shared" si="0"/>
        <v>13</v>
      </c>
      <c r="D14" s="57" t="s">
        <v>150</v>
      </c>
      <c r="E14" s="56" t="s">
        <v>46</v>
      </c>
      <c r="F14" s="57" t="s">
        <v>14</v>
      </c>
      <c r="G14" s="65" t="s">
        <v>174</v>
      </c>
      <c r="H14" s="65" t="s">
        <v>175</v>
      </c>
      <c r="I14" s="66">
        <v>72</v>
      </c>
    </row>
    <row r="15" spans="1:9" x14ac:dyDescent="0.25">
      <c r="A15" s="55">
        <v>45574</v>
      </c>
      <c r="B15" s="56">
        <v>10</v>
      </c>
      <c r="C15" s="57">
        <f t="shared" si="0"/>
        <v>14</v>
      </c>
      <c r="D15" s="57" t="s">
        <v>150</v>
      </c>
      <c r="E15" s="56" t="s">
        <v>46</v>
      </c>
      <c r="F15" s="57" t="s">
        <v>14</v>
      </c>
      <c r="G15" s="65" t="s">
        <v>176</v>
      </c>
      <c r="H15" s="65" t="s">
        <v>177</v>
      </c>
      <c r="I15" s="66">
        <v>71</v>
      </c>
    </row>
    <row r="16" spans="1:9" x14ac:dyDescent="0.25">
      <c r="A16" s="55">
        <v>45574</v>
      </c>
      <c r="B16" s="56">
        <v>10</v>
      </c>
      <c r="C16" s="57">
        <f t="shared" si="0"/>
        <v>15</v>
      </c>
      <c r="D16" s="57" t="s">
        <v>150</v>
      </c>
      <c r="E16" s="56" t="s">
        <v>46</v>
      </c>
      <c r="F16" s="57" t="s">
        <v>14</v>
      </c>
      <c r="G16" s="65" t="s">
        <v>178</v>
      </c>
      <c r="H16" s="65" t="s">
        <v>179</v>
      </c>
      <c r="I16" s="66">
        <v>79</v>
      </c>
    </row>
    <row r="17" spans="1:9" x14ac:dyDescent="0.25">
      <c r="A17" s="55">
        <v>45574</v>
      </c>
      <c r="B17" s="56">
        <v>10</v>
      </c>
      <c r="C17" s="57">
        <f t="shared" si="0"/>
        <v>16</v>
      </c>
      <c r="D17" s="57" t="s">
        <v>150</v>
      </c>
      <c r="E17" s="56" t="s">
        <v>46</v>
      </c>
      <c r="F17" s="57" t="s">
        <v>14</v>
      </c>
      <c r="G17" s="65" t="s">
        <v>180</v>
      </c>
      <c r="H17" s="65" t="s">
        <v>181</v>
      </c>
      <c r="I17" s="66">
        <v>77</v>
      </c>
    </row>
    <row r="18" spans="1:9" x14ac:dyDescent="0.25">
      <c r="A18" s="55">
        <v>45574</v>
      </c>
      <c r="B18" s="56">
        <v>10</v>
      </c>
      <c r="C18" s="57">
        <f t="shared" si="0"/>
        <v>17</v>
      </c>
      <c r="D18" s="57" t="s">
        <v>150</v>
      </c>
      <c r="E18" s="56" t="s">
        <v>46</v>
      </c>
      <c r="F18" s="57" t="s">
        <v>14</v>
      </c>
      <c r="G18" s="65" t="s">
        <v>36</v>
      </c>
      <c r="H18" s="65" t="s">
        <v>182</v>
      </c>
      <c r="I18" s="66">
        <v>73</v>
      </c>
    </row>
    <row r="19" spans="1:9" x14ac:dyDescent="0.25">
      <c r="A19" s="55">
        <v>45574</v>
      </c>
      <c r="B19" s="56">
        <v>10</v>
      </c>
      <c r="C19" s="57">
        <f t="shared" si="0"/>
        <v>18</v>
      </c>
      <c r="D19" s="57" t="s">
        <v>150</v>
      </c>
      <c r="E19" s="56" t="s">
        <v>46</v>
      </c>
      <c r="F19" s="57" t="s">
        <v>14</v>
      </c>
      <c r="G19" s="65" t="s">
        <v>183</v>
      </c>
      <c r="H19" s="65" t="s">
        <v>184</v>
      </c>
      <c r="I19" s="66" t="s">
        <v>185</v>
      </c>
    </row>
    <row r="20" spans="1:9" x14ac:dyDescent="0.25">
      <c r="A20" s="55">
        <v>45574</v>
      </c>
      <c r="B20" s="56">
        <v>10</v>
      </c>
      <c r="C20" s="57">
        <f t="shared" si="0"/>
        <v>19</v>
      </c>
      <c r="D20" s="57" t="s">
        <v>150</v>
      </c>
      <c r="E20" s="56" t="s">
        <v>46</v>
      </c>
      <c r="F20" s="57" t="s">
        <v>14</v>
      </c>
      <c r="G20" s="65" t="s">
        <v>186</v>
      </c>
      <c r="H20" s="65" t="s">
        <v>187</v>
      </c>
      <c r="I20" s="66">
        <v>78</v>
      </c>
    </row>
    <row r="21" spans="1:9" x14ac:dyDescent="0.25">
      <c r="A21" s="55">
        <v>45574</v>
      </c>
      <c r="B21" s="56">
        <v>10</v>
      </c>
      <c r="C21" s="57">
        <f t="shared" si="0"/>
        <v>20</v>
      </c>
      <c r="D21" s="57" t="s">
        <v>150</v>
      </c>
      <c r="E21" s="56" t="s">
        <v>46</v>
      </c>
      <c r="F21" s="57" t="s">
        <v>107</v>
      </c>
      <c r="G21" s="65" t="s">
        <v>188</v>
      </c>
      <c r="H21" s="65">
        <v>242</v>
      </c>
      <c r="I21" s="66">
        <v>5602</v>
      </c>
    </row>
    <row r="22" spans="1:9" x14ac:dyDescent="0.25">
      <c r="A22" s="55">
        <v>45574</v>
      </c>
      <c r="B22" s="56">
        <v>10</v>
      </c>
      <c r="C22" s="57">
        <f t="shared" si="0"/>
        <v>21</v>
      </c>
      <c r="D22" s="57" t="s">
        <v>150</v>
      </c>
      <c r="E22" s="56" t="s">
        <v>46</v>
      </c>
      <c r="F22" s="57" t="s">
        <v>107</v>
      </c>
      <c r="G22" s="65" t="s">
        <v>189</v>
      </c>
      <c r="H22" s="65">
        <v>243</v>
      </c>
      <c r="I22" s="66">
        <v>3409</v>
      </c>
    </row>
    <row r="23" spans="1:9" x14ac:dyDescent="0.25">
      <c r="A23" s="55">
        <v>45574</v>
      </c>
      <c r="B23" s="56">
        <v>10</v>
      </c>
      <c r="C23" s="57">
        <f t="shared" si="0"/>
        <v>22</v>
      </c>
      <c r="D23" s="57" t="s">
        <v>150</v>
      </c>
      <c r="E23" s="56" t="s">
        <v>46</v>
      </c>
      <c r="F23" s="57" t="s">
        <v>107</v>
      </c>
      <c r="G23" s="65" t="s">
        <v>190</v>
      </c>
      <c r="H23" s="65">
        <v>246</v>
      </c>
      <c r="I23" s="66">
        <v>3335</v>
      </c>
    </row>
    <row r="24" spans="1:9" x14ac:dyDescent="0.25">
      <c r="A24" s="55">
        <v>45574</v>
      </c>
      <c r="B24" s="56">
        <v>10</v>
      </c>
      <c r="C24" s="57">
        <f t="shared" si="0"/>
        <v>23</v>
      </c>
      <c r="D24" s="57" t="s">
        <v>150</v>
      </c>
      <c r="E24" s="56" t="s">
        <v>46</v>
      </c>
      <c r="F24" s="57" t="s">
        <v>107</v>
      </c>
      <c r="G24" s="65" t="s">
        <v>191</v>
      </c>
      <c r="H24" s="65">
        <v>247</v>
      </c>
      <c r="I24" s="66">
        <v>2660</v>
      </c>
    </row>
    <row r="25" spans="1:9" x14ac:dyDescent="0.25">
      <c r="A25" s="55">
        <v>45574</v>
      </c>
      <c r="B25" s="56">
        <v>10</v>
      </c>
      <c r="C25" s="57">
        <f t="shared" si="0"/>
        <v>24</v>
      </c>
      <c r="D25" s="57" t="s">
        <v>150</v>
      </c>
      <c r="E25" s="56" t="s">
        <v>46</v>
      </c>
      <c r="F25" s="57" t="s">
        <v>107</v>
      </c>
      <c r="G25" s="65" t="s">
        <v>192</v>
      </c>
      <c r="H25" s="65">
        <v>260</v>
      </c>
      <c r="I25" s="66">
        <v>3467</v>
      </c>
    </row>
    <row r="26" spans="1:9" x14ac:dyDescent="0.25">
      <c r="A26" s="55">
        <v>45574</v>
      </c>
      <c r="B26" s="56">
        <v>10</v>
      </c>
      <c r="C26" s="57">
        <f t="shared" si="0"/>
        <v>25</v>
      </c>
      <c r="D26" s="57" t="s">
        <v>150</v>
      </c>
      <c r="E26" s="56" t="s">
        <v>46</v>
      </c>
      <c r="F26" s="66" t="s">
        <v>107</v>
      </c>
      <c r="G26" s="65" t="s">
        <v>193</v>
      </c>
      <c r="H26" s="65">
        <v>272</v>
      </c>
      <c r="I26" s="66">
        <v>8</v>
      </c>
    </row>
    <row r="27" spans="1:9" x14ac:dyDescent="0.25">
      <c r="A27" s="55">
        <v>45574</v>
      </c>
      <c r="B27" s="56">
        <v>10</v>
      </c>
      <c r="C27" s="57">
        <f t="shared" si="0"/>
        <v>26</v>
      </c>
      <c r="D27" s="57" t="s">
        <v>150</v>
      </c>
      <c r="E27" s="56" t="s">
        <v>46</v>
      </c>
      <c r="F27" s="66" t="s">
        <v>107</v>
      </c>
      <c r="G27" s="65" t="s">
        <v>194</v>
      </c>
      <c r="H27" s="65">
        <v>9964</v>
      </c>
      <c r="I27" s="66">
        <v>20</v>
      </c>
    </row>
    <row r="28" spans="1:9" x14ac:dyDescent="0.25">
      <c r="A28" s="55">
        <v>45574</v>
      </c>
      <c r="B28" s="56">
        <v>10</v>
      </c>
      <c r="C28" s="57">
        <f t="shared" si="0"/>
        <v>27</v>
      </c>
      <c r="D28" s="57" t="s">
        <v>150</v>
      </c>
      <c r="E28" s="69" t="s">
        <v>119</v>
      </c>
      <c r="F28" s="66" t="s">
        <v>25</v>
      </c>
      <c r="G28" s="65" t="s">
        <v>195</v>
      </c>
      <c r="H28" s="65">
        <v>14460</v>
      </c>
      <c r="I28" s="66" t="s">
        <v>118</v>
      </c>
    </row>
    <row r="29" spans="1:9" x14ac:dyDescent="0.25">
      <c r="A29" s="55">
        <v>45574</v>
      </c>
      <c r="B29" s="56">
        <v>10</v>
      </c>
      <c r="C29" s="57">
        <f t="shared" si="0"/>
        <v>28</v>
      </c>
      <c r="D29" s="57" t="s">
        <v>150</v>
      </c>
      <c r="E29" s="69" t="s">
        <v>119</v>
      </c>
      <c r="F29" s="66" t="s">
        <v>25</v>
      </c>
      <c r="G29" s="65" t="s">
        <v>196</v>
      </c>
      <c r="H29" s="65">
        <v>14461</v>
      </c>
      <c r="I29" s="66" t="s">
        <v>118</v>
      </c>
    </row>
    <row r="30" spans="1:9" x14ac:dyDescent="0.25">
      <c r="A30" s="55">
        <v>45574</v>
      </c>
      <c r="B30" s="56">
        <v>10</v>
      </c>
      <c r="C30" s="57">
        <f t="shared" si="0"/>
        <v>29</v>
      </c>
      <c r="D30" s="57" t="s">
        <v>150</v>
      </c>
      <c r="E30" s="69" t="s">
        <v>119</v>
      </c>
      <c r="F30" s="66" t="s">
        <v>25</v>
      </c>
      <c r="G30" s="65" t="s">
        <v>197</v>
      </c>
      <c r="H30" s="65">
        <v>14461</v>
      </c>
      <c r="I30" s="66" t="s">
        <v>118</v>
      </c>
    </row>
    <row r="31" spans="1:9" x14ac:dyDescent="0.25">
      <c r="A31" s="55">
        <v>45574</v>
      </c>
      <c r="B31" s="56">
        <v>10</v>
      </c>
      <c r="C31" s="57">
        <f t="shared" si="0"/>
        <v>30</v>
      </c>
      <c r="D31" s="57" t="s">
        <v>150</v>
      </c>
      <c r="E31" s="69" t="s">
        <v>119</v>
      </c>
      <c r="F31" s="66" t="s">
        <v>25</v>
      </c>
      <c r="G31" s="65" t="s">
        <v>198</v>
      </c>
      <c r="H31" s="65">
        <v>14462</v>
      </c>
      <c r="I31" s="66" t="s">
        <v>118</v>
      </c>
    </row>
    <row r="32" spans="1:9" x14ac:dyDescent="0.25">
      <c r="A32" s="55">
        <v>45574</v>
      </c>
      <c r="B32" s="56">
        <v>10</v>
      </c>
      <c r="C32" s="57">
        <f t="shared" si="0"/>
        <v>31</v>
      </c>
      <c r="D32" s="57" t="s">
        <v>150</v>
      </c>
      <c r="E32" s="69" t="s">
        <v>119</v>
      </c>
      <c r="F32" s="66" t="s">
        <v>25</v>
      </c>
      <c r="G32" s="65" t="s">
        <v>199</v>
      </c>
      <c r="H32" s="65">
        <v>14462</v>
      </c>
      <c r="I32" s="66" t="s">
        <v>118</v>
      </c>
    </row>
    <row r="33" spans="1:9" x14ac:dyDescent="0.25">
      <c r="A33" s="55">
        <v>45574</v>
      </c>
      <c r="B33" s="56">
        <v>10</v>
      </c>
      <c r="C33" s="57">
        <f t="shared" si="0"/>
        <v>32</v>
      </c>
      <c r="D33" s="57" t="s">
        <v>150</v>
      </c>
      <c r="E33" s="69" t="s">
        <v>119</v>
      </c>
      <c r="F33" s="66" t="s">
        <v>25</v>
      </c>
      <c r="G33" s="65" t="s">
        <v>200</v>
      </c>
      <c r="H33" s="65">
        <v>14463</v>
      </c>
      <c r="I33" s="66" t="s">
        <v>118</v>
      </c>
    </row>
    <row r="34" spans="1:9" x14ac:dyDescent="0.25">
      <c r="A34" s="55">
        <v>45574</v>
      </c>
      <c r="B34" s="56">
        <v>10</v>
      </c>
      <c r="C34" s="57">
        <f t="shared" si="0"/>
        <v>33</v>
      </c>
      <c r="D34" s="57" t="s">
        <v>150</v>
      </c>
      <c r="E34" s="56" t="s">
        <v>119</v>
      </c>
      <c r="F34" s="57" t="s">
        <v>25</v>
      </c>
      <c r="G34" s="67" t="s">
        <v>201</v>
      </c>
      <c r="H34" s="67" t="s">
        <v>202</v>
      </c>
      <c r="I34" s="57" t="s">
        <v>114</v>
      </c>
    </row>
    <row r="35" spans="1:9" x14ac:dyDescent="0.25">
      <c r="A35" s="55">
        <v>45574</v>
      </c>
      <c r="B35" s="56">
        <v>10</v>
      </c>
      <c r="C35" s="57">
        <f t="shared" si="0"/>
        <v>34</v>
      </c>
      <c r="D35" s="57" t="s">
        <v>150</v>
      </c>
      <c r="E35" s="56" t="s">
        <v>119</v>
      </c>
      <c r="F35" s="57" t="s">
        <v>25</v>
      </c>
      <c r="G35" s="67" t="s">
        <v>203</v>
      </c>
      <c r="H35" s="67" t="s">
        <v>202</v>
      </c>
      <c r="I35" s="57" t="s">
        <v>114</v>
      </c>
    </row>
    <row r="36" spans="1:9" x14ac:dyDescent="0.25">
      <c r="A36" s="55">
        <v>45574</v>
      </c>
      <c r="B36" s="56">
        <v>10</v>
      </c>
      <c r="C36" s="57">
        <f t="shared" si="0"/>
        <v>35</v>
      </c>
      <c r="D36" s="57" t="s">
        <v>150</v>
      </c>
      <c r="E36" s="69" t="s">
        <v>109</v>
      </c>
      <c r="F36" s="57" t="s">
        <v>25</v>
      </c>
      <c r="G36" s="65" t="s">
        <v>204</v>
      </c>
      <c r="H36" s="65">
        <v>18103</v>
      </c>
      <c r="I36" s="57" t="s">
        <v>114</v>
      </c>
    </row>
    <row r="37" spans="1:9" x14ac:dyDescent="0.25">
      <c r="A37" s="55">
        <v>45574</v>
      </c>
      <c r="B37" s="56">
        <v>10</v>
      </c>
      <c r="C37" s="57">
        <f t="shared" si="0"/>
        <v>36</v>
      </c>
      <c r="D37" s="57" t="s">
        <v>150</v>
      </c>
      <c r="E37" s="69" t="s">
        <v>109</v>
      </c>
      <c r="F37" s="66" t="s">
        <v>25</v>
      </c>
      <c r="G37" s="70" t="s">
        <v>205</v>
      </c>
      <c r="H37" s="65" t="s">
        <v>206</v>
      </c>
      <c r="I37" s="66" t="s">
        <v>114</v>
      </c>
    </row>
    <row r="38" spans="1:9" x14ac:dyDescent="0.25">
      <c r="A38" s="55">
        <v>45574</v>
      </c>
      <c r="B38" s="56">
        <v>10</v>
      </c>
      <c r="C38" s="57">
        <f t="shared" si="0"/>
        <v>37</v>
      </c>
      <c r="D38" s="57" t="s">
        <v>150</v>
      </c>
      <c r="E38" s="69" t="s">
        <v>109</v>
      </c>
      <c r="F38" s="66" t="s">
        <v>25</v>
      </c>
      <c r="G38" s="70" t="s">
        <v>207</v>
      </c>
      <c r="H38" s="65" t="s">
        <v>206</v>
      </c>
      <c r="I38" s="66" t="s">
        <v>114</v>
      </c>
    </row>
    <row r="39" spans="1:9" x14ac:dyDescent="0.25">
      <c r="A39" s="55">
        <v>45574</v>
      </c>
      <c r="B39" s="56">
        <v>10</v>
      </c>
      <c r="C39" s="57">
        <f t="shared" si="0"/>
        <v>38</v>
      </c>
      <c r="D39" s="57" t="s">
        <v>150</v>
      </c>
      <c r="E39" s="56" t="s">
        <v>116</v>
      </c>
      <c r="F39" s="57" t="s">
        <v>25</v>
      </c>
      <c r="G39" s="67" t="s">
        <v>208</v>
      </c>
      <c r="H39" s="67">
        <v>20433</v>
      </c>
      <c r="I39" s="57" t="s">
        <v>209</v>
      </c>
    </row>
    <row r="40" spans="1:9" x14ac:dyDescent="0.25">
      <c r="A40" s="55">
        <v>45574</v>
      </c>
      <c r="B40" s="56">
        <v>10</v>
      </c>
      <c r="C40" s="57">
        <f t="shared" si="0"/>
        <v>39</v>
      </c>
      <c r="D40" s="57" t="s">
        <v>150</v>
      </c>
      <c r="E40" s="56" t="s">
        <v>116</v>
      </c>
      <c r="F40" s="57" t="s">
        <v>25</v>
      </c>
      <c r="G40" s="67" t="s">
        <v>210</v>
      </c>
      <c r="H40" s="67">
        <v>20434</v>
      </c>
      <c r="I40" s="57" t="s">
        <v>114</v>
      </c>
    </row>
    <row r="41" spans="1:9" x14ac:dyDescent="0.25">
      <c r="A41" s="55">
        <v>45574</v>
      </c>
      <c r="B41" s="56">
        <v>10</v>
      </c>
      <c r="C41" s="57">
        <f t="shared" si="0"/>
        <v>40</v>
      </c>
      <c r="D41" s="57" t="s">
        <v>150</v>
      </c>
      <c r="E41" s="69" t="s">
        <v>116</v>
      </c>
      <c r="F41" s="57" t="s">
        <v>25</v>
      </c>
      <c r="G41" s="65" t="s">
        <v>211</v>
      </c>
      <c r="H41" s="65">
        <v>20443</v>
      </c>
      <c r="I41" s="57" t="s">
        <v>114</v>
      </c>
    </row>
    <row r="42" spans="1:9" x14ac:dyDescent="0.25">
      <c r="A42" s="55">
        <v>45574</v>
      </c>
      <c r="B42" s="56">
        <v>10</v>
      </c>
      <c r="C42" s="57">
        <f t="shared" si="0"/>
        <v>41</v>
      </c>
      <c r="D42" s="57" t="s">
        <v>150</v>
      </c>
      <c r="E42" s="69" t="s">
        <v>116</v>
      </c>
      <c r="F42" s="57" t="s">
        <v>25</v>
      </c>
      <c r="G42" s="65" t="s">
        <v>212</v>
      </c>
      <c r="H42" s="65">
        <v>20449</v>
      </c>
      <c r="I42" s="57" t="s">
        <v>114</v>
      </c>
    </row>
    <row r="43" spans="1:9" x14ac:dyDescent="0.25">
      <c r="A43" s="55">
        <v>45574</v>
      </c>
      <c r="B43" s="56">
        <v>10</v>
      </c>
      <c r="C43" s="57">
        <f t="shared" si="0"/>
        <v>42</v>
      </c>
      <c r="D43" s="57" t="s">
        <v>150</v>
      </c>
      <c r="E43" s="69" t="s">
        <v>116</v>
      </c>
      <c r="F43" s="57" t="s">
        <v>25</v>
      </c>
      <c r="G43" s="65" t="s">
        <v>213</v>
      </c>
      <c r="H43" s="65">
        <v>39917</v>
      </c>
      <c r="I43" s="57" t="s">
        <v>114</v>
      </c>
    </row>
    <row r="44" spans="1:9" x14ac:dyDescent="0.25">
      <c r="A44" s="55">
        <v>45574</v>
      </c>
      <c r="B44" s="56">
        <v>10</v>
      </c>
      <c r="C44" s="57">
        <f t="shared" si="0"/>
        <v>43</v>
      </c>
      <c r="D44" s="57" t="s">
        <v>150</v>
      </c>
      <c r="E44" s="69" t="s">
        <v>117</v>
      </c>
      <c r="F44" s="57" t="s">
        <v>25</v>
      </c>
      <c r="G44" s="65" t="s">
        <v>214</v>
      </c>
      <c r="H44" s="65">
        <v>6231</v>
      </c>
      <c r="I44" s="57" t="s">
        <v>113</v>
      </c>
    </row>
    <row r="45" spans="1:9" x14ac:dyDescent="0.25">
      <c r="A45" s="55">
        <v>45574</v>
      </c>
      <c r="B45" s="56">
        <v>10</v>
      </c>
      <c r="C45" s="57">
        <f t="shared" si="0"/>
        <v>44</v>
      </c>
      <c r="D45" s="57" t="s">
        <v>150</v>
      </c>
      <c r="E45" s="69" t="s">
        <v>117</v>
      </c>
      <c r="F45" s="57" t="s">
        <v>25</v>
      </c>
      <c r="G45" s="65" t="s">
        <v>215</v>
      </c>
      <c r="H45" s="65">
        <v>6221</v>
      </c>
      <c r="I45" s="57" t="s">
        <v>115</v>
      </c>
    </row>
    <row r="46" spans="1:9" x14ac:dyDescent="0.25">
      <c r="A46" s="55">
        <v>45574</v>
      </c>
      <c r="B46" s="56">
        <v>10</v>
      </c>
      <c r="C46" s="57">
        <f t="shared" si="0"/>
        <v>45</v>
      </c>
      <c r="D46" s="57" t="s">
        <v>150</v>
      </c>
      <c r="E46" s="56" t="s">
        <v>216</v>
      </c>
      <c r="F46" s="57" t="s">
        <v>25</v>
      </c>
      <c r="G46" s="67" t="s">
        <v>217</v>
      </c>
      <c r="H46" s="67">
        <v>652</v>
      </c>
      <c r="I46" s="57" t="s">
        <v>113</v>
      </c>
    </row>
    <row r="47" spans="1:9" x14ac:dyDescent="0.25">
      <c r="A47" s="55">
        <v>45574</v>
      </c>
      <c r="B47" s="56">
        <v>10</v>
      </c>
      <c r="C47" s="57">
        <f t="shared" si="0"/>
        <v>46</v>
      </c>
      <c r="D47" s="57" t="s">
        <v>150</v>
      </c>
      <c r="E47" s="56" t="s">
        <v>218</v>
      </c>
      <c r="F47" s="57" t="s">
        <v>25</v>
      </c>
      <c r="G47" s="67" t="s">
        <v>219</v>
      </c>
      <c r="H47" s="67" t="s">
        <v>220</v>
      </c>
      <c r="I47" s="57" t="s">
        <v>114</v>
      </c>
    </row>
    <row r="48" spans="1:9" x14ac:dyDescent="0.25">
      <c r="A48" s="55">
        <v>45574</v>
      </c>
      <c r="B48" s="56">
        <v>10</v>
      </c>
      <c r="C48" s="57">
        <f t="shared" si="0"/>
        <v>47</v>
      </c>
      <c r="D48" s="57" t="s">
        <v>150</v>
      </c>
      <c r="E48" s="56" t="s">
        <v>221</v>
      </c>
      <c r="F48" s="57" t="s">
        <v>25</v>
      </c>
      <c r="G48" s="68" t="s">
        <v>222</v>
      </c>
      <c r="H48" s="67" t="s">
        <v>223</v>
      </c>
      <c r="I48" s="57" t="s">
        <v>113</v>
      </c>
    </row>
    <row r="49" spans="1:9" x14ac:dyDescent="0.25">
      <c r="A49" s="55">
        <v>45574</v>
      </c>
      <c r="B49" s="56">
        <v>10</v>
      </c>
      <c r="C49" s="57">
        <f t="shared" si="0"/>
        <v>48</v>
      </c>
      <c r="D49" s="57" t="s">
        <v>150</v>
      </c>
      <c r="E49" s="56" t="s">
        <v>221</v>
      </c>
      <c r="F49" s="57" t="s">
        <v>25</v>
      </c>
      <c r="G49" s="67" t="s">
        <v>224</v>
      </c>
      <c r="H49" s="67" t="s">
        <v>223</v>
      </c>
      <c r="I49" s="57" t="s">
        <v>113</v>
      </c>
    </row>
    <row r="50" spans="1:9" x14ac:dyDescent="0.25">
      <c r="A50" s="55">
        <v>45574</v>
      </c>
      <c r="B50" s="56">
        <v>10</v>
      </c>
      <c r="C50" s="57">
        <f t="shared" si="0"/>
        <v>49</v>
      </c>
      <c r="D50" s="57" t="s">
        <v>150</v>
      </c>
      <c r="E50" s="56" t="s">
        <v>108</v>
      </c>
      <c r="F50" s="57" t="s">
        <v>25</v>
      </c>
      <c r="G50" s="65" t="s">
        <v>225</v>
      </c>
      <c r="H50" s="65">
        <v>25771</v>
      </c>
      <c r="I50" s="57" t="s">
        <v>114</v>
      </c>
    </row>
    <row r="51" spans="1:9" x14ac:dyDescent="0.25">
      <c r="A51" s="55">
        <v>45574</v>
      </c>
      <c r="B51" s="56">
        <v>10</v>
      </c>
      <c r="C51" s="57">
        <f t="shared" si="0"/>
        <v>50</v>
      </c>
      <c r="D51" s="57" t="s">
        <v>150</v>
      </c>
      <c r="E51" s="56" t="s">
        <v>108</v>
      </c>
      <c r="F51" s="57" t="s">
        <v>25</v>
      </c>
      <c r="G51" s="65" t="s">
        <v>226</v>
      </c>
      <c r="H51" s="65">
        <v>86833</v>
      </c>
      <c r="I51" s="57" t="s">
        <v>227</v>
      </c>
    </row>
    <row r="52" spans="1:9" x14ac:dyDescent="0.25">
      <c r="A52" s="55">
        <v>45574</v>
      </c>
      <c r="B52" s="56">
        <v>10</v>
      </c>
      <c r="C52" s="57">
        <f t="shared" si="0"/>
        <v>51</v>
      </c>
      <c r="D52" s="57" t="s">
        <v>150</v>
      </c>
      <c r="E52" s="69" t="s">
        <v>228</v>
      </c>
      <c r="F52" s="57" t="s">
        <v>25</v>
      </c>
      <c r="G52" s="65" t="s">
        <v>229</v>
      </c>
      <c r="H52" s="65" t="s">
        <v>230</v>
      </c>
      <c r="I52" s="66" t="s">
        <v>114</v>
      </c>
    </row>
    <row r="53" spans="1:9" x14ac:dyDescent="0.25">
      <c r="A53" s="55">
        <v>45574</v>
      </c>
      <c r="B53" s="56">
        <v>10</v>
      </c>
      <c r="C53" s="57">
        <f t="shared" si="0"/>
        <v>52</v>
      </c>
      <c r="D53" s="57" t="s">
        <v>150</v>
      </c>
      <c r="E53" s="69" t="s">
        <v>228</v>
      </c>
      <c r="F53" s="57" t="s">
        <v>25</v>
      </c>
      <c r="G53" s="65" t="s">
        <v>231</v>
      </c>
      <c r="H53" s="65" t="s">
        <v>230</v>
      </c>
      <c r="I53" s="66" t="s">
        <v>114</v>
      </c>
    </row>
    <row r="54" spans="1:9" x14ac:dyDescent="0.25">
      <c r="A54" s="55">
        <v>45574</v>
      </c>
      <c r="B54" s="56">
        <v>10</v>
      </c>
      <c r="C54" s="57">
        <f t="shared" si="0"/>
        <v>53</v>
      </c>
      <c r="D54" s="57" t="s">
        <v>150</v>
      </c>
      <c r="E54" s="69" t="s">
        <v>228</v>
      </c>
      <c r="F54" s="57" t="s">
        <v>25</v>
      </c>
      <c r="G54" s="65" t="s">
        <v>232</v>
      </c>
      <c r="H54" s="65" t="s">
        <v>233</v>
      </c>
      <c r="I54" s="66" t="s">
        <v>114</v>
      </c>
    </row>
    <row r="55" spans="1:9" x14ac:dyDescent="0.25">
      <c r="A55" s="55">
        <v>45574</v>
      </c>
      <c r="B55" s="56">
        <v>10</v>
      </c>
      <c r="C55" s="57">
        <f t="shared" si="0"/>
        <v>54</v>
      </c>
      <c r="D55" s="57" t="s">
        <v>150</v>
      </c>
      <c r="E55" s="69" t="s">
        <v>228</v>
      </c>
      <c r="F55" s="57" t="s">
        <v>25</v>
      </c>
      <c r="G55" s="65" t="s">
        <v>234</v>
      </c>
      <c r="H55" s="65" t="s">
        <v>233</v>
      </c>
      <c r="I55" s="66" t="s">
        <v>114</v>
      </c>
    </row>
    <row r="56" spans="1:9" x14ac:dyDescent="0.25">
      <c r="A56" s="55">
        <v>45574</v>
      </c>
      <c r="B56" s="56">
        <v>10</v>
      </c>
      <c r="C56" s="57">
        <f t="shared" si="0"/>
        <v>55</v>
      </c>
      <c r="D56" s="57" t="s">
        <v>150</v>
      </c>
      <c r="E56" s="56" t="s">
        <v>235</v>
      </c>
      <c r="F56" s="57" t="s">
        <v>25</v>
      </c>
      <c r="G56" s="67" t="s">
        <v>236</v>
      </c>
      <c r="H56" s="67">
        <v>213400</v>
      </c>
      <c r="I56" s="57" t="s">
        <v>114</v>
      </c>
    </row>
    <row r="57" spans="1:9" x14ac:dyDescent="0.25">
      <c r="A57" s="55">
        <v>45574</v>
      </c>
      <c r="B57" s="56">
        <v>10</v>
      </c>
      <c r="C57" s="57">
        <f t="shared" si="0"/>
        <v>56</v>
      </c>
      <c r="D57" s="57" t="s">
        <v>150</v>
      </c>
      <c r="E57" s="69" t="s">
        <v>237</v>
      </c>
      <c r="F57" s="57" t="s">
        <v>25</v>
      </c>
      <c r="G57" s="65" t="s">
        <v>238</v>
      </c>
      <c r="H57" s="65">
        <v>325247</v>
      </c>
      <c r="I57" s="57" t="s">
        <v>114</v>
      </c>
    </row>
    <row r="58" spans="1:9" x14ac:dyDescent="0.25">
      <c r="A58" s="55">
        <v>45574</v>
      </c>
      <c r="B58" s="56">
        <v>10</v>
      </c>
      <c r="C58" s="57">
        <f t="shared" si="0"/>
        <v>57</v>
      </c>
      <c r="D58" s="57" t="s">
        <v>150</v>
      </c>
      <c r="E58" s="69" t="s">
        <v>237</v>
      </c>
      <c r="F58" s="57" t="s">
        <v>25</v>
      </c>
      <c r="G58" s="65" t="s">
        <v>239</v>
      </c>
      <c r="H58" s="65">
        <v>325247</v>
      </c>
      <c r="I58" s="57" t="s">
        <v>114</v>
      </c>
    </row>
    <row r="59" spans="1:9" x14ac:dyDescent="0.25">
      <c r="A59" s="55">
        <v>45574</v>
      </c>
      <c r="B59" s="56">
        <v>10</v>
      </c>
      <c r="C59" s="57">
        <f t="shared" si="0"/>
        <v>58</v>
      </c>
      <c r="D59" s="57" t="s">
        <v>150</v>
      </c>
      <c r="E59" s="56" t="s">
        <v>112</v>
      </c>
      <c r="F59" s="57" t="s">
        <v>25</v>
      </c>
      <c r="G59" s="67" t="s">
        <v>240</v>
      </c>
      <c r="H59" s="67">
        <v>18553888</v>
      </c>
      <c r="I59" s="57" t="s">
        <v>113</v>
      </c>
    </row>
    <row r="60" spans="1:9" x14ac:dyDescent="0.25">
      <c r="A60" s="55">
        <v>45574</v>
      </c>
      <c r="B60" s="56">
        <v>10</v>
      </c>
      <c r="C60" s="57">
        <f t="shared" si="0"/>
        <v>59</v>
      </c>
      <c r="D60" s="57" t="s">
        <v>150</v>
      </c>
      <c r="E60" s="56" t="s">
        <v>112</v>
      </c>
      <c r="F60" s="57" t="s">
        <v>25</v>
      </c>
      <c r="G60" s="67" t="s">
        <v>241</v>
      </c>
      <c r="H60" s="67">
        <v>18578331</v>
      </c>
      <c r="I60" s="57" t="s">
        <v>113</v>
      </c>
    </row>
    <row r="61" spans="1:9" x14ac:dyDescent="0.25">
      <c r="A61" s="55">
        <v>45574</v>
      </c>
      <c r="B61" s="56">
        <v>10</v>
      </c>
      <c r="C61" s="57">
        <f t="shared" si="0"/>
        <v>60</v>
      </c>
      <c r="D61" s="57" t="s">
        <v>150</v>
      </c>
      <c r="E61" s="56" t="s">
        <v>112</v>
      </c>
      <c r="F61" s="57" t="s">
        <v>25</v>
      </c>
      <c r="G61" s="67" t="s">
        <v>241</v>
      </c>
      <c r="H61" s="67">
        <v>18590230</v>
      </c>
      <c r="I61" s="57" t="s">
        <v>113</v>
      </c>
    </row>
    <row r="62" spans="1:9" x14ac:dyDescent="0.25">
      <c r="A62" s="55">
        <v>45574</v>
      </c>
      <c r="B62" s="56">
        <v>10</v>
      </c>
      <c r="C62" s="57">
        <f t="shared" si="0"/>
        <v>61</v>
      </c>
      <c r="D62" s="57" t="s">
        <v>150</v>
      </c>
      <c r="E62" s="56" t="s">
        <v>242</v>
      </c>
      <c r="F62" s="57" t="s">
        <v>25</v>
      </c>
      <c r="G62" s="67" t="s">
        <v>243</v>
      </c>
      <c r="H62" s="67" t="s">
        <v>244</v>
      </c>
      <c r="I62" s="57" t="s">
        <v>245</v>
      </c>
    </row>
    <row r="63" spans="1:9" x14ac:dyDescent="0.25">
      <c r="A63" s="55">
        <v>45574</v>
      </c>
      <c r="B63" s="56">
        <v>10</v>
      </c>
      <c r="C63" s="57">
        <f t="shared" si="0"/>
        <v>62</v>
      </c>
      <c r="D63" s="57" t="s">
        <v>150</v>
      </c>
      <c r="E63" s="56" t="s">
        <v>242</v>
      </c>
      <c r="F63" s="57" t="s">
        <v>25</v>
      </c>
      <c r="G63" s="67" t="s">
        <v>243</v>
      </c>
      <c r="H63" s="67" t="s">
        <v>247</v>
      </c>
      <c r="I63" s="57" t="s">
        <v>245</v>
      </c>
    </row>
    <row r="64" spans="1:9" x14ac:dyDescent="0.25">
      <c r="A64" s="55">
        <v>45574</v>
      </c>
      <c r="B64" s="56">
        <v>10</v>
      </c>
      <c r="C64" s="57">
        <f t="shared" si="0"/>
        <v>63</v>
      </c>
      <c r="D64" s="57" t="s">
        <v>150</v>
      </c>
      <c r="E64" s="56" t="s">
        <v>242</v>
      </c>
      <c r="F64" s="57" t="s">
        <v>25</v>
      </c>
      <c r="G64" s="67" t="s">
        <v>243</v>
      </c>
      <c r="H64" s="67" t="s">
        <v>248</v>
      </c>
      <c r="I64" s="57" t="s">
        <v>245</v>
      </c>
    </row>
    <row r="65" spans="1:9" x14ac:dyDescent="0.25">
      <c r="A65" s="55">
        <v>45574</v>
      </c>
      <c r="B65" s="56">
        <v>10</v>
      </c>
      <c r="C65" s="57">
        <f t="shared" si="0"/>
        <v>64</v>
      </c>
      <c r="D65" s="57" t="s">
        <v>150</v>
      </c>
      <c r="E65" s="56" t="s">
        <v>110</v>
      </c>
      <c r="F65" s="57" t="s">
        <v>25</v>
      </c>
      <c r="G65" s="67" t="s">
        <v>249</v>
      </c>
      <c r="H65" s="67">
        <v>1074</v>
      </c>
      <c r="I65" s="57" t="s">
        <v>118</v>
      </c>
    </row>
    <row r="66" spans="1:9" x14ac:dyDescent="0.25">
      <c r="A66" s="55">
        <v>45574</v>
      </c>
      <c r="B66" s="56">
        <v>10</v>
      </c>
      <c r="C66" s="57">
        <f t="shared" si="0"/>
        <v>65</v>
      </c>
      <c r="D66" s="57" t="s">
        <v>150</v>
      </c>
      <c r="E66" s="56" t="s">
        <v>250</v>
      </c>
      <c r="F66" s="57" t="s">
        <v>25</v>
      </c>
      <c r="G66" s="67" t="s">
        <v>251</v>
      </c>
      <c r="H66" s="67">
        <v>6909</v>
      </c>
      <c r="I66" s="57" t="s">
        <v>114</v>
      </c>
    </row>
    <row r="67" spans="1:9" x14ac:dyDescent="0.25">
      <c r="A67" s="55">
        <v>45574</v>
      </c>
      <c r="B67" s="56">
        <v>10</v>
      </c>
      <c r="C67" s="57">
        <f t="shared" ref="C67:C68" si="1">IF(A67=A66,C66+1,1)</f>
        <v>66</v>
      </c>
      <c r="D67" s="57" t="s">
        <v>150</v>
      </c>
      <c r="E67" s="56" t="s">
        <v>252</v>
      </c>
      <c r="F67" s="57" t="s">
        <v>25</v>
      </c>
      <c r="G67" s="67" t="s">
        <v>253</v>
      </c>
      <c r="H67" s="67">
        <v>977</v>
      </c>
      <c r="I67" s="57" t="s">
        <v>246</v>
      </c>
    </row>
    <row r="68" spans="1:9" x14ac:dyDescent="0.25">
      <c r="A68" s="55">
        <v>45574</v>
      </c>
      <c r="B68" s="56">
        <v>10</v>
      </c>
      <c r="C68" s="57">
        <f t="shared" si="1"/>
        <v>67</v>
      </c>
      <c r="D68" s="57" t="s">
        <v>150</v>
      </c>
      <c r="E68" s="56" t="s">
        <v>254</v>
      </c>
      <c r="F68" s="57" t="s">
        <v>13</v>
      </c>
      <c r="G68" s="67" t="s">
        <v>255</v>
      </c>
      <c r="H68" s="67">
        <v>44110</v>
      </c>
      <c r="I68" s="57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1C1D-CD89-46EB-9063-F6D83C2B96F7}">
  <dimension ref="A1:AA189"/>
  <sheetViews>
    <sheetView tabSelected="1" view="pageBreakPreview" topLeftCell="A16" zoomScaleNormal="100" zoomScaleSheetLayoutView="100" workbookViewId="0">
      <selection activeCell="U10" sqref="U10"/>
    </sheetView>
  </sheetViews>
  <sheetFormatPr defaultColWidth="9.109375" defaultRowHeight="17.399999999999999" x14ac:dyDescent="0.45"/>
  <cols>
    <col min="1" max="1" width="2.6640625" style="77" customWidth="1"/>
    <col min="2" max="2" width="2.44140625" style="71" customWidth="1"/>
    <col min="3" max="3" width="6.44140625" style="71" customWidth="1"/>
    <col min="4" max="4" width="0.44140625" style="71" hidden="1" customWidth="1"/>
    <col min="5" max="5" width="36.6640625" style="71" customWidth="1"/>
    <col min="6" max="6" width="0.44140625" style="73" hidden="1" customWidth="1"/>
    <col min="7" max="7" width="2.44140625" style="71" customWidth="1"/>
    <col min="8" max="8" width="19.44140625" style="71" customWidth="1"/>
    <col min="9" max="9" width="2.6640625" style="77" customWidth="1"/>
    <col min="10" max="10" width="2.44140625" style="71" customWidth="1"/>
    <col min="11" max="11" width="6.44140625" style="71" customWidth="1"/>
    <col min="12" max="12" width="0.44140625" style="71" hidden="1" customWidth="1"/>
    <col min="13" max="13" width="36.6640625" style="71" customWidth="1"/>
    <col min="14" max="14" width="0.44140625" style="71" hidden="1" customWidth="1"/>
    <col min="15" max="15" width="2.44140625" style="71" customWidth="1"/>
    <col min="16" max="16" width="19.44140625" style="71" customWidth="1"/>
    <col min="17" max="17" width="2.6640625" style="77" customWidth="1"/>
    <col min="18" max="18" width="2.44140625" style="71" customWidth="1"/>
    <col min="19" max="19" width="6.44140625" style="71" customWidth="1"/>
    <col min="20" max="20" width="0.44140625" style="71" hidden="1" customWidth="1"/>
    <col min="21" max="21" width="36.6640625" style="71" customWidth="1"/>
    <col min="22" max="22" width="0.44140625" style="71" hidden="1" customWidth="1"/>
    <col min="23" max="23" width="2.44140625" style="71" customWidth="1"/>
    <col min="24" max="24" width="19.44140625" style="71" customWidth="1"/>
    <col min="25" max="25" width="2.6640625" style="71" customWidth="1"/>
    <col min="26" max="16384" width="9.109375" style="71"/>
  </cols>
  <sheetData>
    <row r="1" spans="1:27" ht="18.75" customHeight="1" x14ac:dyDescent="0.3">
      <c r="B1" s="97" t="s">
        <v>28</v>
      </c>
      <c r="C1" s="98" t="s">
        <v>257</v>
      </c>
      <c r="D1" s="75"/>
      <c r="E1" s="89" t="s">
        <v>258</v>
      </c>
      <c r="F1" s="89"/>
      <c r="G1" s="89"/>
      <c r="H1" s="89"/>
      <c r="J1" s="97" t="s">
        <v>28</v>
      </c>
      <c r="K1" s="98" t="str">
        <f>$C$1</f>
        <v>CBT/RACK</v>
      </c>
      <c r="L1" s="75"/>
      <c r="M1" s="89" t="str">
        <f>$E$1</f>
        <v>SW TOKIO</v>
      </c>
      <c r="N1" s="89"/>
      <c r="O1" s="89"/>
      <c r="P1" s="89"/>
      <c r="R1" s="97" t="s">
        <v>28</v>
      </c>
      <c r="S1" s="98" t="str">
        <f>$C$1</f>
        <v>CBT/RACK</v>
      </c>
      <c r="T1" s="75"/>
      <c r="U1" s="89" t="str">
        <f>$E$1</f>
        <v>SW TOKIO</v>
      </c>
      <c r="V1" s="89"/>
      <c r="W1" s="89"/>
      <c r="X1" s="89"/>
      <c r="Z1" s="101" t="s">
        <v>133</v>
      </c>
      <c r="AA1" s="101"/>
    </row>
    <row r="2" spans="1:27" ht="13.5" customHeight="1" x14ac:dyDescent="0.3">
      <c r="B2" s="97"/>
      <c r="C2" s="98"/>
      <c r="D2" s="75"/>
      <c r="E2" s="89"/>
      <c r="F2" s="89"/>
      <c r="G2" s="89"/>
      <c r="H2" s="89"/>
      <c r="J2" s="97"/>
      <c r="K2" s="98"/>
      <c r="L2" s="75"/>
      <c r="M2" s="89"/>
      <c r="N2" s="89"/>
      <c r="O2" s="89"/>
      <c r="P2" s="89"/>
      <c r="R2" s="97"/>
      <c r="S2" s="98"/>
      <c r="T2" s="75"/>
      <c r="U2" s="89"/>
      <c r="V2" s="89"/>
      <c r="W2" s="89"/>
      <c r="X2" s="89"/>
      <c r="Z2" s="101"/>
      <c r="AA2" s="101"/>
    </row>
    <row r="3" spans="1:27" s="80" customFormat="1" ht="21" customHeight="1" x14ac:dyDescent="0.3">
      <c r="A3" s="78"/>
      <c r="B3" s="97"/>
      <c r="C3" s="98"/>
      <c r="D3" s="79"/>
      <c r="E3" s="93" t="s">
        <v>2</v>
      </c>
      <c r="F3" s="93"/>
      <c r="G3" s="93"/>
      <c r="H3" s="93"/>
      <c r="I3" s="78"/>
      <c r="J3" s="97"/>
      <c r="K3" s="98"/>
      <c r="L3" s="79"/>
      <c r="M3" s="93" t="s">
        <v>2</v>
      </c>
      <c r="N3" s="93"/>
      <c r="O3" s="93"/>
      <c r="P3" s="93"/>
      <c r="Q3" s="78"/>
      <c r="R3" s="97"/>
      <c r="S3" s="98"/>
      <c r="T3" s="79"/>
      <c r="U3" s="93" t="s">
        <v>2</v>
      </c>
      <c r="V3" s="93"/>
      <c r="W3" s="93"/>
      <c r="X3" s="93"/>
      <c r="Z3" s="81"/>
      <c r="AA3" s="81"/>
    </row>
    <row r="4" spans="1:27" ht="57.75" customHeight="1" x14ac:dyDescent="0.3">
      <c r="B4" s="97"/>
      <c r="C4" s="98"/>
      <c r="D4" s="75"/>
      <c r="E4" s="91" t="s">
        <v>259</v>
      </c>
      <c r="F4" s="91"/>
      <c r="G4" s="91"/>
      <c r="H4" s="91"/>
      <c r="J4" s="97"/>
      <c r="K4" s="98"/>
      <c r="L4" s="75"/>
      <c r="M4" s="91" t="str">
        <f>$E$4</f>
        <v>T-8255</v>
      </c>
      <c r="N4" s="91"/>
      <c r="O4" s="91"/>
      <c r="P4" s="91"/>
      <c r="R4" s="97"/>
      <c r="S4" s="98"/>
      <c r="T4" s="75"/>
      <c r="U4" s="91" t="str">
        <f>$E$4</f>
        <v>T-8255</v>
      </c>
      <c r="V4" s="91"/>
      <c r="W4" s="91"/>
      <c r="X4" s="91"/>
      <c r="Z4" s="102">
        <v>24</v>
      </c>
      <c r="AA4" s="102"/>
    </row>
    <row r="5" spans="1:27" s="80" customFormat="1" ht="21" customHeight="1" x14ac:dyDescent="0.3">
      <c r="A5" s="78"/>
      <c r="B5" s="97"/>
      <c r="C5" s="98"/>
      <c r="D5" s="79"/>
      <c r="E5" s="93" t="s">
        <v>132</v>
      </c>
      <c r="F5" s="93"/>
      <c r="G5" s="93"/>
      <c r="H5" s="93"/>
      <c r="I5" s="78"/>
      <c r="J5" s="97"/>
      <c r="K5" s="98"/>
      <c r="L5" s="79"/>
      <c r="M5" s="93" t="s">
        <v>132</v>
      </c>
      <c r="N5" s="93"/>
      <c r="O5" s="93"/>
      <c r="P5" s="93"/>
      <c r="Q5" s="78"/>
      <c r="R5" s="97"/>
      <c r="S5" s="98"/>
      <c r="T5" s="79"/>
      <c r="U5" s="93" t="s">
        <v>132</v>
      </c>
      <c r="V5" s="93"/>
      <c r="W5" s="93"/>
      <c r="X5" s="93"/>
      <c r="Z5" s="80" t="s">
        <v>130</v>
      </c>
    </row>
    <row r="6" spans="1:27" ht="57.75" customHeight="1" x14ac:dyDescent="0.3">
      <c r="B6" s="97"/>
      <c r="C6" s="98"/>
      <c r="D6" s="75"/>
      <c r="E6" s="92">
        <v>1286</v>
      </c>
      <c r="F6" s="92"/>
      <c r="G6" s="92"/>
      <c r="H6" s="92"/>
      <c r="J6" s="97"/>
      <c r="K6" s="98"/>
      <c r="L6" s="75"/>
      <c r="M6" s="92">
        <v>1286</v>
      </c>
      <c r="N6" s="92"/>
      <c r="O6" s="92"/>
      <c r="P6" s="92"/>
      <c r="R6" s="97"/>
      <c r="S6" s="98"/>
      <c r="T6" s="75"/>
      <c r="U6" s="92">
        <f>$E$6</f>
        <v>1286</v>
      </c>
      <c r="V6" s="92"/>
      <c r="W6" s="92"/>
      <c r="X6" s="92"/>
    </row>
    <row r="7" spans="1:27" s="80" customFormat="1" ht="21" customHeight="1" x14ac:dyDescent="0.3">
      <c r="A7" s="78"/>
      <c r="B7" s="97"/>
      <c r="C7" s="98"/>
      <c r="D7" s="79"/>
      <c r="E7" s="93" t="s">
        <v>5</v>
      </c>
      <c r="F7" s="93"/>
      <c r="G7" s="93"/>
      <c r="H7" s="93"/>
      <c r="I7" s="78"/>
      <c r="J7" s="97"/>
      <c r="K7" s="98"/>
      <c r="L7" s="79"/>
      <c r="M7" s="93" t="s">
        <v>5</v>
      </c>
      <c r="N7" s="93"/>
      <c r="O7" s="93"/>
      <c r="P7" s="93"/>
      <c r="Q7" s="78"/>
      <c r="R7" s="97"/>
      <c r="S7" s="98"/>
      <c r="T7" s="79"/>
      <c r="U7" s="93" t="s">
        <v>5</v>
      </c>
      <c r="V7" s="93"/>
      <c r="W7" s="93"/>
      <c r="X7" s="93"/>
    </row>
    <row r="8" spans="1:27" ht="18.75" customHeight="1" x14ac:dyDescent="0.45">
      <c r="B8" s="97"/>
      <c r="C8" s="98"/>
      <c r="D8" s="75"/>
      <c r="E8" s="94" t="s">
        <v>260</v>
      </c>
      <c r="F8" s="74"/>
      <c r="G8" s="103">
        <v>1</v>
      </c>
      <c r="H8" s="100"/>
      <c r="J8" s="97"/>
      <c r="K8" s="98"/>
      <c r="L8" s="75"/>
      <c r="M8" s="94" t="s">
        <v>260</v>
      </c>
      <c r="N8" s="74"/>
      <c r="O8" s="99" t="str">
        <f>_xlfn.CONCAT(I9,"/",$Z$4)</f>
        <v>2/24</v>
      </c>
      <c r="P8" s="100"/>
      <c r="R8" s="97"/>
      <c r="S8" s="98"/>
      <c r="T8" s="75"/>
      <c r="U8" s="94" t="str">
        <f>$E$8</f>
        <v>TMI-7D43</v>
      </c>
      <c r="V8" s="74"/>
      <c r="W8" s="99" t="str">
        <f>_xlfn.CONCAT(Q9,"/",$Z$4)</f>
        <v>3/24</v>
      </c>
      <c r="X8" s="100"/>
    </row>
    <row r="9" spans="1:27" ht="36" customHeight="1" x14ac:dyDescent="0.45">
      <c r="A9" s="77">
        <v>1</v>
      </c>
      <c r="B9" s="97"/>
      <c r="C9" s="98"/>
      <c r="D9" s="75"/>
      <c r="E9" s="94"/>
      <c r="F9" s="74"/>
      <c r="G9" s="99"/>
      <c r="H9" s="100"/>
      <c r="I9" s="77">
        <v>2</v>
      </c>
      <c r="J9" s="97"/>
      <c r="K9" s="98"/>
      <c r="L9" s="75"/>
      <c r="M9" s="94"/>
      <c r="N9" s="74"/>
      <c r="O9" s="99"/>
      <c r="P9" s="100"/>
      <c r="Q9" s="77">
        <v>3</v>
      </c>
      <c r="R9" s="97"/>
      <c r="S9" s="98"/>
      <c r="T9" s="75"/>
      <c r="U9" s="94"/>
      <c r="V9" s="74"/>
      <c r="W9" s="99"/>
      <c r="X9" s="100"/>
    </row>
    <row r="10" spans="1:27" ht="15.75" customHeight="1" x14ac:dyDescent="0.45"/>
    <row r="11" spans="1:27" ht="15" customHeight="1" x14ac:dyDescent="0.3">
      <c r="B11" s="97" t="s">
        <v>28</v>
      </c>
      <c r="C11" s="98" t="str">
        <f>$C$1</f>
        <v>CBT/RACK</v>
      </c>
      <c r="D11" s="75"/>
      <c r="E11" s="89" t="str">
        <f t="shared" ref="E11" si="0">$E$1</f>
        <v>SW TOKIO</v>
      </c>
      <c r="F11" s="89"/>
      <c r="G11" s="89"/>
      <c r="H11" s="89"/>
      <c r="J11" s="97" t="s">
        <v>28</v>
      </c>
      <c r="K11" s="98" t="str">
        <f t="shared" ref="K11" si="1">$C$1</f>
        <v>CBT/RACK</v>
      </c>
      <c r="L11" s="75"/>
      <c r="M11" s="89" t="str">
        <f t="shared" ref="M11" si="2">$E$1</f>
        <v>SW TOKIO</v>
      </c>
      <c r="N11" s="89"/>
      <c r="O11" s="89"/>
      <c r="P11" s="89"/>
      <c r="R11" s="97" t="s">
        <v>28</v>
      </c>
      <c r="S11" s="98" t="str">
        <f t="shared" ref="S11" si="3">$C$1</f>
        <v>CBT/RACK</v>
      </c>
      <c r="T11" s="75"/>
      <c r="U11" s="89" t="str">
        <f t="shared" ref="U11" si="4">$E$1</f>
        <v>SW TOKIO</v>
      </c>
      <c r="V11" s="89"/>
      <c r="W11" s="89"/>
      <c r="X11" s="89"/>
    </row>
    <row r="12" spans="1:27" ht="15.75" customHeight="1" x14ac:dyDescent="0.3">
      <c r="B12" s="97"/>
      <c r="C12" s="98"/>
      <c r="D12" s="75"/>
      <c r="E12" s="89"/>
      <c r="F12" s="89"/>
      <c r="G12" s="89"/>
      <c r="H12" s="89"/>
      <c r="J12" s="97"/>
      <c r="K12" s="98"/>
      <c r="L12" s="75"/>
      <c r="M12" s="89"/>
      <c r="N12" s="89"/>
      <c r="O12" s="89"/>
      <c r="P12" s="89"/>
      <c r="R12" s="97"/>
      <c r="S12" s="98"/>
      <c r="T12" s="75"/>
      <c r="U12" s="89"/>
      <c r="V12" s="89"/>
      <c r="W12" s="89"/>
      <c r="X12" s="89"/>
    </row>
    <row r="13" spans="1:27" s="80" customFormat="1" ht="21" customHeight="1" x14ac:dyDescent="0.3">
      <c r="A13" s="78"/>
      <c r="B13" s="97"/>
      <c r="C13" s="98"/>
      <c r="D13" s="79"/>
      <c r="E13" s="93" t="s">
        <v>2</v>
      </c>
      <c r="F13" s="93"/>
      <c r="G13" s="93"/>
      <c r="H13" s="93"/>
      <c r="I13" s="78"/>
      <c r="J13" s="97"/>
      <c r="K13" s="98"/>
      <c r="L13" s="79"/>
      <c r="M13" s="93" t="s">
        <v>2</v>
      </c>
      <c r="N13" s="93"/>
      <c r="O13" s="93"/>
      <c r="P13" s="93"/>
      <c r="Q13" s="78"/>
      <c r="R13" s="97"/>
      <c r="S13" s="98"/>
      <c r="T13" s="79"/>
      <c r="U13" s="93" t="s">
        <v>2</v>
      </c>
      <c r="V13" s="93"/>
      <c r="W13" s="93"/>
      <c r="X13" s="93"/>
    </row>
    <row r="14" spans="1:27" ht="57.75" customHeight="1" x14ac:dyDescent="0.3">
      <c r="B14" s="97"/>
      <c r="C14" s="98"/>
      <c r="D14" s="75"/>
      <c r="E14" s="91" t="str">
        <f>$E$4</f>
        <v>T-8255</v>
      </c>
      <c r="F14" s="91"/>
      <c r="G14" s="91"/>
      <c r="H14" s="91"/>
      <c r="J14" s="97"/>
      <c r="K14" s="98"/>
      <c r="L14" s="75"/>
      <c r="M14" s="91" t="str">
        <f t="shared" ref="M14" si="5">$E$4</f>
        <v>T-8255</v>
      </c>
      <c r="N14" s="91"/>
      <c r="O14" s="91"/>
      <c r="P14" s="91"/>
      <c r="R14" s="97"/>
      <c r="S14" s="98"/>
      <c r="T14" s="75"/>
      <c r="U14" s="91" t="str">
        <f t="shared" ref="U14" si="6">$E$4</f>
        <v>T-8255</v>
      </c>
      <c r="V14" s="91"/>
      <c r="W14" s="91"/>
      <c r="X14" s="91"/>
    </row>
    <row r="15" spans="1:27" s="80" customFormat="1" ht="21" customHeight="1" x14ac:dyDescent="0.3">
      <c r="A15" s="78"/>
      <c r="B15" s="97"/>
      <c r="C15" s="98"/>
      <c r="D15" s="79"/>
      <c r="E15" s="93" t="s">
        <v>132</v>
      </c>
      <c r="F15" s="93"/>
      <c r="G15" s="93"/>
      <c r="H15" s="93"/>
      <c r="I15" s="78"/>
      <c r="J15" s="97"/>
      <c r="K15" s="98"/>
      <c r="L15" s="79"/>
      <c r="M15" s="93" t="s">
        <v>132</v>
      </c>
      <c r="N15" s="93"/>
      <c r="O15" s="93"/>
      <c r="P15" s="93"/>
      <c r="Q15" s="78"/>
      <c r="R15" s="97"/>
      <c r="S15" s="98"/>
      <c r="T15" s="79"/>
      <c r="U15" s="93" t="s">
        <v>132</v>
      </c>
      <c r="V15" s="93"/>
      <c r="W15" s="93"/>
      <c r="X15" s="93"/>
    </row>
    <row r="16" spans="1:27" ht="57.75" customHeight="1" x14ac:dyDescent="0.3">
      <c r="B16" s="97"/>
      <c r="C16" s="98"/>
      <c r="D16" s="75"/>
      <c r="E16" s="92">
        <f>E6</f>
        <v>1286</v>
      </c>
      <c r="F16" s="92"/>
      <c r="G16" s="92"/>
      <c r="H16" s="92"/>
      <c r="J16" s="97"/>
      <c r="K16" s="98"/>
      <c r="L16" s="75"/>
      <c r="M16" s="92">
        <f t="shared" ref="M16" si="7">$E$6</f>
        <v>1286</v>
      </c>
      <c r="N16" s="92"/>
      <c r="O16" s="92"/>
      <c r="P16" s="92"/>
      <c r="R16" s="97"/>
      <c r="S16" s="98"/>
      <c r="T16" s="75"/>
      <c r="U16" s="92">
        <f t="shared" ref="U16" si="8">$E$6</f>
        <v>1286</v>
      </c>
      <c r="V16" s="92"/>
      <c r="W16" s="92"/>
      <c r="X16" s="92"/>
    </row>
    <row r="17" spans="1:24" s="80" customFormat="1" ht="21" customHeight="1" x14ac:dyDescent="0.3">
      <c r="A17" s="78"/>
      <c r="B17" s="97"/>
      <c r="C17" s="98"/>
      <c r="D17" s="79"/>
      <c r="E17" s="93" t="s">
        <v>5</v>
      </c>
      <c r="F17" s="93"/>
      <c r="G17" s="93"/>
      <c r="H17" s="93"/>
      <c r="I17" s="78"/>
      <c r="J17" s="97"/>
      <c r="K17" s="98"/>
      <c r="L17" s="79"/>
      <c r="M17" s="93" t="s">
        <v>5</v>
      </c>
      <c r="N17" s="93"/>
      <c r="O17" s="93"/>
      <c r="P17" s="93"/>
      <c r="Q17" s="78"/>
      <c r="R17" s="97"/>
      <c r="S17" s="98"/>
      <c r="T17" s="79"/>
      <c r="U17" s="93" t="s">
        <v>5</v>
      </c>
      <c r="V17" s="93"/>
      <c r="W17" s="93"/>
      <c r="X17" s="93"/>
    </row>
    <row r="18" spans="1:24" ht="18.75" customHeight="1" x14ac:dyDescent="0.45">
      <c r="B18" s="97"/>
      <c r="C18" s="98"/>
      <c r="D18" s="75"/>
      <c r="E18" s="94" t="str">
        <f>E8</f>
        <v>TMI-7D43</v>
      </c>
      <c r="F18" s="74"/>
      <c r="G18" s="99" t="str">
        <f t="shared" ref="G18" si="9">_xlfn.CONCAT(A19,"/",$Z$4)</f>
        <v>4/24</v>
      </c>
      <c r="H18" s="100"/>
      <c r="J18" s="97"/>
      <c r="K18" s="98"/>
      <c r="L18" s="75"/>
      <c r="M18" s="94" t="str">
        <f t="shared" ref="M18" si="10">$E$8</f>
        <v>TMI-7D43</v>
      </c>
      <c r="N18" s="74"/>
      <c r="O18" s="99" t="str">
        <f t="shared" ref="O18" si="11">_xlfn.CONCAT(I19,"/",$Z$4)</f>
        <v>5/24</v>
      </c>
      <c r="P18" s="100"/>
      <c r="R18" s="97"/>
      <c r="S18" s="98"/>
      <c r="T18" s="75"/>
      <c r="U18" s="94" t="str">
        <f t="shared" ref="U18" si="12">$E$8</f>
        <v>TMI-7D43</v>
      </c>
      <c r="V18" s="74"/>
      <c r="W18" s="99" t="str">
        <f t="shared" ref="W18" si="13">_xlfn.CONCAT(Q19,"/",$Z$4)</f>
        <v>6/24</v>
      </c>
      <c r="X18" s="100"/>
    </row>
    <row r="19" spans="1:24" ht="36" customHeight="1" x14ac:dyDescent="0.45">
      <c r="A19" s="77">
        <v>4</v>
      </c>
      <c r="B19" s="97"/>
      <c r="C19" s="98"/>
      <c r="D19" s="75"/>
      <c r="E19" s="94"/>
      <c r="F19" s="74"/>
      <c r="G19" s="99"/>
      <c r="H19" s="100"/>
      <c r="I19" s="77">
        <v>5</v>
      </c>
      <c r="J19" s="97"/>
      <c r="K19" s="98"/>
      <c r="L19" s="75"/>
      <c r="M19" s="94"/>
      <c r="N19" s="74"/>
      <c r="O19" s="99"/>
      <c r="P19" s="100"/>
      <c r="Q19" s="77">
        <v>6</v>
      </c>
      <c r="R19" s="97"/>
      <c r="S19" s="98"/>
      <c r="T19" s="75"/>
      <c r="U19" s="94"/>
      <c r="V19" s="74"/>
      <c r="W19" s="99"/>
      <c r="X19" s="100"/>
    </row>
    <row r="20" spans="1:24" ht="15.75" customHeight="1" x14ac:dyDescent="0.45"/>
    <row r="21" spans="1:24" ht="15" customHeight="1" x14ac:dyDescent="0.3">
      <c r="B21" s="97" t="s">
        <v>28</v>
      </c>
      <c r="C21" s="98" t="str">
        <f t="shared" ref="C21" si="14">$C$1</f>
        <v>CBT/RACK</v>
      </c>
      <c r="D21" s="75"/>
      <c r="E21" s="89" t="str">
        <f t="shared" ref="E21:E81" si="15">$E$1</f>
        <v>SW TOKIO</v>
      </c>
      <c r="F21" s="89"/>
      <c r="G21" s="89"/>
      <c r="H21" s="89"/>
      <c r="J21" s="97" t="s">
        <v>28</v>
      </c>
      <c r="K21" s="98" t="str">
        <f t="shared" ref="K21" si="16">$C$1</f>
        <v>CBT/RACK</v>
      </c>
      <c r="L21" s="75"/>
      <c r="M21" s="89" t="str">
        <f t="shared" ref="M21" si="17">$E$1</f>
        <v>SW TOKIO</v>
      </c>
      <c r="N21" s="89"/>
      <c r="O21" s="89"/>
      <c r="P21" s="89"/>
      <c r="R21" s="97" t="s">
        <v>28</v>
      </c>
      <c r="S21" s="98" t="str">
        <f t="shared" ref="S21" si="18">$C$1</f>
        <v>CBT/RACK</v>
      </c>
      <c r="T21" s="75"/>
      <c r="U21" s="89" t="str">
        <f t="shared" ref="U21" si="19">$E$1</f>
        <v>SW TOKIO</v>
      </c>
      <c r="V21" s="89"/>
      <c r="W21" s="89"/>
      <c r="X21" s="89"/>
    </row>
    <row r="22" spans="1:24" ht="15.75" customHeight="1" x14ac:dyDescent="0.3">
      <c r="B22" s="97"/>
      <c r="C22" s="98"/>
      <c r="D22" s="75"/>
      <c r="E22" s="89"/>
      <c r="F22" s="89"/>
      <c r="G22" s="89"/>
      <c r="H22" s="89"/>
      <c r="J22" s="97"/>
      <c r="K22" s="98"/>
      <c r="L22" s="75"/>
      <c r="M22" s="89"/>
      <c r="N22" s="89"/>
      <c r="O22" s="89"/>
      <c r="P22" s="89"/>
      <c r="R22" s="97"/>
      <c r="S22" s="98"/>
      <c r="T22" s="75"/>
      <c r="U22" s="89"/>
      <c r="V22" s="89"/>
      <c r="W22" s="89"/>
      <c r="X22" s="89"/>
    </row>
    <row r="23" spans="1:24" s="80" customFormat="1" ht="21" customHeight="1" x14ac:dyDescent="0.3">
      <c r="A23" s="78"/>
      <c r="B23" s="97"/>
      <c r="C23" s="98"/>
      <c r="D23" s="79"/>
      <c r="E23" s="93" t="s">
        <v>2</v>
      </c>
      <c r="F23" s="93"/>
      <c r="G23" s="93"/>
      <c r="H23" s="93"/>
      <c r="I23" s="78"/>
      <c r="J23" s="97"/>
      <c r="K23" s="98"/>
      <c r="L23" s="79"/>
      <c r="M23" s="93" t="s">
        <v>2</v>
      </c>
      <c r="N23" s="93"/>
      <c r="O23" s="93"/>
      <c r="P23" s="93"/>
      <c r="Q23" s="78"/>
      <c r="R23" s="97"/>
      <c r="S23" s="98"/>
      <c r="T23" s="79"/>
      <c r="U23" s="93" t="s">
        <v>2</v>
      </c>
      <c r="V23" s="93"/>
      <c r="W23" s="93"/>
      <c r="X23" s="93"/>
    </row>
    <row r="24" spans="1:24" ht="57.75" customHeight="1" x14ac:dyDescent="0.3">
      <c r="B24" s="97"/>
      <c r="C24" s="98"/>
      <c r="D24" s="75"/>
      <c r="E24" s="91" t="str">
        <f t="shared" ref="E24" si="20">$E$4</f>
        <v>T-8255</v>
      </c>
      <c r="F24" s="91"/>
      <c r="G24" s="91"/>
      <c r="H24" s="91"/>
      <c r="J24" s="97"/>
      <c r="K24" s="98"/>
      <c r="L24" s="75"/>
      <c r="M24" s="91" t="str">
        <f t="shared" ref="M24" si="21">$E$4</f>
        <v>T-8255</v>
      </c>
      <c r="N24" s="91"/>
      <c r="O24" s="91"/>
      <c r="P24" s="91"/>
      <c r="R24" s="97"/>
      <c r="S24" s="98"/>
      <c r="T24" s="75"/>
      <c r="U24" s="91" t="str">
        <f t="shared" ref="U24" si="22">$E$4</f>
        <v>T-8255</v>
      </c>
      <c r="V24" s="91"/>
      <c r="W24" s="91"/>
      <c r="X24" s="91"/>
    </row>
    <row r="25" spans="1:24" s="80" customFormat="1" ht="21" customHeight="1" x14ac:dyDescent="0.3">
      <c r="A25" s="78"/>
      <c r="B25" s="97"/>
      <c r="C25" s="98"/>
      <c r="D25" s="79"/>
      <c r="E25" s="93" t="s">
        <v>132</v>
      </c>
      <c r="F25" s="93"/>
      <c r="G25" s="93"/>
      <c r="H25" s="93"/>
      <c r="I25" s="78"/>
      <c r="J25" s="97"/>
      <c r="K25" s="98"/>
      <c r="L25" s="79"/>
      <c r="M25" s="93" t="s">
        <v>132</v>
      </c>
      <c r="N25" s="93"/>
      <c r="O25" s="93"/>
      <c r="P25" s="93"/>
      <c r="Q25" s="78"/>
      <c r="R25" s="97"/>
      <c r="S25" s="98"/>
      <c r="T25" s="79"/>
      <c r="U25" s="93" t="s">
        <v>132</v>
      </c>
      <c r="V25" s="93"/>
      <c r="W25" s="93"/>
      <c r="X25" s="93"/>
    </row>
    <row r="26" spans="1:24" ht="57.75" customHeight="1" x14ac:dyDescent="0.3">
      <c r="B26" s="97"/>
      <c r="C26" s="98"/>
      <c r="D26" s="75"/>
      <c r="E26" s="92">
        <f t="shared" ref="E26" si="23">$E$6</f>
        <v>1286</v>
      </c>
      <c r="F26" s="92"/>
      <c r="G26" s="92"/>
      <c r="H26" s="92"/>
      <c r="J26" s="97"/>
      <c r="K26" s="98"/>
      <c r="L26" s="75"/>
      <c r="M26" s="92">
        <f t="shared" ref="M26" si="24">$E$6</f>
        <v>1286</v>
      </c>
      <c r="N26" s="92"/>
      <c r="O26" s="92"/>
      <c r="P26" s="92"/>
      <c r="R26" s="97"/>
      <c r="S26" s="98"/>
      <c r="T26" s="75"/>
      <c r="U26" s="92">
        <f t="shared" ref="U26" si="25">$E$6</f>
        <v>1286</v>
      </c>
      <c r="V26" s="92"/>
      <c r="W26" s="92"/>
      <c r="X26" s="92"/>
    </row>
    <row r="27" spans="1:24" s="80" customFormat="1" ht="21" customHeight="1" x14ac:dyDescent="0.3">
      <c r="A27" s="78"/>
      <c r="B27" s="97"/>
      <c r="C27" s="98"/>
      <c r="D27" s="79"/>
      <c r="E27" s="93" t="s">
        <v>5</v>
      </c>
      <c r="F27" s="93"/>
      <c r="G27" s="93"/>
      <c r="H27" s="93"/>
      <c r="I27" s="78"/>
      <c r="J27" s="97"/>
      <c r="K27" s="98"/>
      <c r="L27" s="79"/>
      <c r="M27" s="93" t="s">
        <v>5</v>
      </c>
      <c r="N27" s="93"/>
      <c r="O27" s="93"/>
      <c r="P27" s="93"/>
      <c r="Q27" s="78"/>
      <c r="R27" s="97"/>
      <c r="S27" s="98"/>
      <c r="T27" s="79"/>
      <c r="U27" s="93" t="s">
        <v>5</v>
      </c>
      <c r="V27" s="93"/>
      <c r="W27" s="93"/>
      <c r="X27" s="93"/>
    </row>
    <row r="28" spans="1:24" ht="18.75" customHeight="1" x14ac:dyDescent="0.45">
      <c r="B28" s="97"/>
      <c r="C28" s="98"/>
      <c r="D28" s="75"/>
      <c r="E28" s="94" t="str">
        <f t="shared" ref="E28" si="26">$E$8</f>
        <v>TMI-7D43</v>
      </c>
      <c r="F28" s="74"/>
      <c r="G28" s="99" t="str">
        <f t="shared" ref="G28" si="27">_xlfn.CONCAT(A29,"/",$Z$4)</f>
        <v>7/24</v>
      </c>
      <c r="H28" s="100"/>
      <c r="J28" s="97"/>
      <c r="K28" s="98"/>
      <c r="L28" s="75"/>
      <c r="M28" s="94" t="str">
        <f t="shared" ref="M28" si="28">$E$8</f>
        <v>TMI-7D43</v>
      </c>
      <c r="N28" s="74"/>
      <c r="O28" s="99" t="str">
        <f t="shared" ref="O28" si="29">_xlfn.CONCAT(I29,"/",$Z$4)</f>
        <v>8/24</v>
      </c>
      <c r="P28" s="100"/>
      <c r="R28" s="97"/>
      <c r="S28" s="98"/>
      <c r="T28" s="75"/>
      <c r="U28" s="94" t="str">
        <f t="shared" ref="U28" si="30">$E$8</f>
        <v>TMI-7D43</v>
      </c>
      <c r="V28" s="74"/>
      <c r="W28" s="99" t="str">
        <f t="shared" ref="W28" si="31">_xlfn.CONCAT(Q29,"/",$Z$4)</f>
        <v>9/24</v>
      </c>
      <c r="X28" s="100"/>
    </row>
    <row r="29" spans="1:24" ht="36" customHeight="1" x14ac:dyDescent="0.45">
      <c r="A29" s="77">
        <v>7</v>
      </c>
      <c r="B29" s="97"/>
      <c r="C29" s="98"/>
      <c r="D29" s="75"/>
      <c r="E29" s="94"/>
      <c r="F29" s="74"/>
      <c r="G29" s="99"/>
      <c r="H29" s="100"/>
      <c r="I29" s="77">
        <v>8</v>
      </c>
      <c r="J29" s="97"/>
      <c r="K29" s="98"/>
      <c r="L29" s="75"/>
      <c r="M29" s="94"/>
      <c r="N29" s="74"/>
      <c r="O29" s="99"/>
      <c r="P29" s="100"/>
      <c r="Q29" s="77">
        <v>9</v>
      </c>
      <c r="R29" s="97"/>
      <c r="S29" s="98"/>
      <c r="T29" s="75"/>
      <c r="U29" s="94"/>
      <c r="V29" s="74"/>
      <c r="W29" s="99"/>
      <c r="X29" s="100"/>
    </row>
    <row r="30" spans="1:24" ht="15.75" customHeight="1" x14ac:dyDescent="0.45"/>
    <row r="31" spans="1:24" ht="15" customHeight="1" x14ac:dyDescent="0.3">
      <c r="B31" s="97" t="s">
        <v>28</v>
      </c>
      <c r="C31" s="98" t="str">
        <f t="shared" ref="C31" si="32">$C$1</f>
        <v>CBT/RACK</v>
      </c>
      <c r="D31" s="75"/>
      <c r="E31" s="89" t="str">
        <f t="shared" si="15"/>
        <v>SW TOKIO</v>
      </c>
      <c r="F31" s="89"/>
      <c r="G31" s="89"/>
      <c r="H31" s="89"/>
      <c r="J31" s="97" t="s">
        <v>28</v>
      </c>
      <c r="K31" s="98" t="str">
        <f t="shared" ref="K31" si="33">$C$1</f>
        <v>CBT/RACK</v>
      </c>
      <c r="L31" s="75"/>
      <c r="M31" s="89" t="str">
        <f t="shared" ref="M31" si="34">$E$1</f>
        <v>SW TOKIO</v>
      </c>
      <c r="N31" s="89"/>
      <c r="O31" s="89"/>
      <c r="P31" s="89"/>
      <c r="R31" s="97" t="s">
        <v>28</v>
      </c>
      <c r="S31" s="98" t="str">
        <f t="shared" ref="S31" si="35">$C$1</f>
        <v>CBT/RACK</v>
      </c>
      <c r="T31" s="75"/>
      <c r="U31" s="89" t="str">
        <f t="shared" ref="U31" si="36">$E$1</f>
        <v>SW TOKIO</v>
      </c>
      <c r="V31" s="89"/>
      <c r="W31" s="89"/>
      <c r="X31" s="89"/>
    </row>
    <row r="32" spans="1:24" ht="15.75" customHeight="1" x14ac:dyDescent="0.3">
      <c r="B32" s="97"/>
      <c r="C32" s="98"/>
      <c r="D32" s="75"/>
      <c r="E32" s="89"/>
      <c r="F32" s="89"/>
      <c r="G32" s="89"/>
      <c r="H32" s="89"/>
      <c r="J32" s="97"/>
      <c r="K32" s="98"/>
      <c r="L32" s="75"/>
      <c r="M32" s="89"/>
      <c r="N32" s="89"/>
      <c r="O32" s="89"/>
      <c r="P32" s="89"/>
      <c r="R32" s="97"/>
      <c r="S32" s="98"/>
      <c r="T32" s="75"/>
      <c r="U32" s="89"/>
      <c r="V32" s="89"/>
      <c r="W32" s="89"/>
      <c r="X32" s="89"/>
    </row>
    <row r="33" spans="1:24" s="80" customFormat="1" ht="21" customHeight="1" x14ac:dyDescent="0.3">
      <c r="A33" s="78"/>
      <c r="B33" s="97"/>
      <c r="C33" s="98"/>
      <c r="D33" s="79"/>
      <c r="E33" s="93" t="s">
        <v>2</v>
      </c>
      <c r="F33" s="93"/>
      <c r="G33" s="93"/>
      <c r="H33" s="93"/>
      <c r="I33" s="78"/>
      <c r="J33" s="97"/>
      <c r="K33" s="98"/>
      <c r="L33" s="79"/>
      <c r="M33" s="93" t="s">
        <v>2</v>
      </c>
      <c r="N33" s="93"/>
      <c r="O33" s="93"/>
      <c r="P33" s="93"/>
      <c r="Q33" s="78"/>
      <c r="R33" s="97"/>
      <c r="S33" s="98"/>
      <c r="T33" s="79"/>
      <c r="U33" s="93" t="s">
        <v>2</v>
      </c>
      <c r="V33" s="93"/>
      <c r="W33" s="93"/>
      <c r="X33" s="93"/>
    </row>
    <row r="34" spans="1:24" ht="57.75" customHeight="1" x14ac:dyDescent="0.3">
      <c r="B34" s="97"/>
      <c r="C34" s="98"/>
      <c r="D34" s="75"/>
      <c r="E34" s="91" t="str">
        <f t="shared" ref="E34" si="37">$E$4</f>
        <v>T-8255</v>
      </c>
      <c r="F34" s="91"/>
      <c r="G34" s="91"/>
      <c r="H34" s="91"/>
      <c r="J34" s="97"/>
      <c r="K34" s="98"/>
      <c r="L34" s="75"/>
      <c r="M34" s="91" t="str">
        <f t="shared" ref="M34" si="38">$E$4</f>
        <v>T-8255</v>
      </c>
      <c r="N34" s="91"/>
      <c r="O34" s="91"/>
      <c r="P34" s="91"/>
      <c r="R34" s="97"/>
      <c r="S34" s="98"/>
      <c r="T34" s="75"/>
      <c r="U34" s="91" t="str">
        <f t="shared" ref="U34" si="39">$E$4</f>
        <v>T-8255</v>
      </c>
      <c r="V34" s="91"/>
      <c r="W34" s="91"/>
      <c r="X34" s="91"/>
    </row>
    <row r="35" spans="1:24" s="80" customFormat="1" ht="21" customHeight="1" x14ac:dyDescent="0.3">
      <c r="A35" s="78"/>
      <c r="B35" s="97"/>
      <c r="C35" s="98"/>
      <c r="D35" s="79"/>
      <c r="E35" s="93" t="s">
        <v>132</v>
      </c>
      <c r="F35" s="93"/>
      <c r="G35" s="93"/>
      <c r="H35" s="93"/>
      <c r="I35" s="78"/>
      <c r="J35" s="97"/>
      <c r="K35" s="98"/>
      <c r="L35" s="79"/>
      <c r="M35" s="93" t="s">
        <v>132</v>
      </c>
      <c r="N35" s="93"/>
      <c r="O35" s="93"/>
      <c r="P35" s="93"/>
      <c r="Q35" s="78"/>
      <c r="R35" s="97"/>
      <c r="S35" s="98"/>
      <c r="T35" s="79"/>
      <c r="U35" s="93" t="s">
        <v>132</v>
      </c>
      <c r="V35" s="93"/>
      <c r="W35" s="93"/>
      <c r="X35" s="93"/>
    </row>
    <row r="36" spans="1:24" ht="57.75" customHeight="1" x14ac:dyDescent="0.3">
      <c r="B36" s="97"/>
      <c r="C36" s="98"/>
      <c r="D36" s="75"/>
      <c r="E36" s="92">
        <f t="shared" ref="E36" si="40">$E$6</f>
        <v>1286</v>
      </c>
      <c r="F36" s="92"/>
      <c r="G36" s="92"/>
      <c r="H36" s="92"/>
      <c r="J36" s="97"/>
      <c r="K36" s="98"/>
      <c r="L36" s="75"/>
      <c r="M36" s="92">
        <f t="shared" ref="M36" si="41">$E$6</f>
        <v>1286</v>
      </c>
      <c r="N36" s="92"/>
      <c r="O36" s="92"/>
      <c r="P36" s="92"/>
      <c r="R36" s="97"/>
      <c r="S36" s="98"/>
      <c r="T36" s="75"/>
      <c r="U36" s="92">
        <f t="shared" ref="U36" si="42">$E$6</f>
        <v>1286</v>
      </c>
      <c r="V36" s="92"/>
      <c r="W36" s="92"/>
      <c r="X36" s="92"/>
    </row>
    <row r="37" spans="1:24" s="80" customFormat="1" ht="21" customHeight="1" x14ac:dyDescent="0.3">
      <c r="A37" s="78"/>
      <c r="B37" s="97"/>
      <c r="C37" s="98"/>
      <c r="D37" s="79"/>
      <c r="E37" s="93" t="s">
        <v>5</v>
      </c>
      <c r="F37" s="93"/>
      <c r="G37" s="93"/>
      <c r="H37" s="93"/>
      <c r="I37" s="78"/>
      <c r="J37" s="97"/>
      <c r="K37" s="98"/>
      <c r="L37" s="79"/>
      <c r="M37" s="93" t="s">
        <v>5</v>
      </c>
      <c r="N37" s="93"/>
      <c r="O37" s="93"/>
      <c r="P37" s="93"/>
      <c r="Q37" s="78"/>
      <c r="R37" s="97"/>
      <c r="S37" s="98"/>
      <c r="T37" s="79"/>
      <c r="U37" s="93" t="s">
        <v>5</v>
      </c>
      <c r="V37" s="93"/>
      <c r="W37" s="93"/>
      <c r="X37" s="93"/>
    </row>
    <row r="38" spans="1:24" ht="18.75" customHeight="1" x14ac:dyDescent="0.45">
      <c r="B38" s="97"/>
      <c r="C38" s="98"/>
      <c r="D38" s="75"/>
      <c r="E38" s="94" t="str">
        <f t="shared" ref="E38" si="43">$E$8</f>
        <v>TMI-7D43</v>
      </c>
      <c r="F38" s="74"/>
      <c r="G38" s="95" t="str">
        <f t="shared" ref="G38" si="44">_xlfn.CONCAT(A39,"/",$Z$4)</f>
        <v>10/24</v>
      </c>
      <c r="H38" s="96"/>
      <c r="J38" s="97"/>
      <c r="K38" s="98"/>
      <c r="L38" s="75"/>
      <c r="M38" s="94" t="str">
        <f t="shared" ref="M38" si="45">$E$8</f>
        <v>TMI-7D43</v>
      </c>
      <c r="N38" s="74"/>
      <c r="O38" s="95" t="str">
        <f t="shared" ref="O38" si="46">_xlfn.CONCAT(I39,"/",$Z$4)</f>
        <v>11/24</v>
      </c>
      <c r="P38" s="96"/>
      <c r="R38" s="97"/>
      <c r="S38" s="98"/>
      <c r="T38" s="75"/>
      <c r="U38" s="94" t="str">
        <f t="shared" ref="U38" si="47">$E$8</f>
        <v>TMI-7D43</v>
      </c>
      <c r="V38" s="74"/>
      <c r="W38" s="95" t="str">
        <f t="shared" ref="W38" si="48">_xlfn.CONCAT(Q39,"/",$Z$4)</f>
        <v>12/24</v>
      </c>
      <c r="X38" s="96"/>
    </row>
    <row r="39" spans="1:24" ht="36" customHeight="1" x14ac:dyDescent="0.45">
      <c r="A39" s="77">
        <v>10</v>
      </c>
      <c r="B39" s="97"/>
      <c r="C39" s="98"/>
      <c r="D39" s="75"/>
      <c r="E39" s="94"/>
      <c r="F39" s="74"/>
      <c r="G39" s="95"/>
      <c r="H39" s="96"/>
      <c r="I39" s="77">
        <v>11</v>
      </c>
      <c r="J39" s="97"/>
      <c r="K39" s="98"/>
      <c r="L39" s="75"/>
      <c r="M39" s="94"/>
      <c r="N39" s="74"/>
      <c r="O39" s="95"/>
      <c r="P39" s="96"/>
      <c r="Q39" s="77">
        <v>12</v>
      </c>
      <c r="R39" s="97"/>
      <c r="S39" s="98"/>
      <c r="T39" s="75"/>
      <c r="U39" s="94"/>
      <c r="V39" s="74"/>
      <c r="W39" s="95"/>
      <c r="X39" s="96"/>
    </row>
    <row r="40" spans="1:24" ht="15" customHeight="1" x14ac:dyDescent="0.45"/>
    <row r="41" spans="1:24" ht="15" customHeight="1" x14ac:dyDescent="0.3">
      <c r="B41" s="97" t="s">
        <v>28</v>
      </c>
      <c r="C41" s="98" t="str">
        <f t="shared" ref="C41" si="49">$C$1</f>
        <v>CBT/RACK</v>
      </c>
      <c r="D41" s="75"/>
      <c r="E41" s="89" t="str">
        <f t="shared" si="15"/>
        <v>SW TOKIO</v>
      </c>
      <c r="F41" s="89"/>
      <c r="G41" s="89"/>
      <c r="H41" s="89"/>
      <c r="J41" s="97" t="s">
        <v>28</v>
      </c>
      <c r="K41" s="98" t="str">
        <f t="shared" ref="K41" si="50">$C$1</f>
        <v>CBT/RACK</v>
      </c>
      <c r="L41" s="75"/>
      <c r="M41" s="89" t="str">
        <f t="shared" ref="M41" si="51">$E$1</f>
        <v>SW TOKIO</v>
      </c>
      <c r="N41" s="89"/>
      <c r="O41" s="89"/>
      <c r="P41" s="89"/>
      <c r="R41" s="97" t="s">
        <v>28</v>
      </c>
      <c r="S41" s="98" t="str">
        <f t="shared" ref="S41" si="52">$C$1</f>
        <v>CBT/RACK</v>
      </c>
      <c r="T41" s="75"/>
      <c r="U41" s="89" t="str">
        <f t="shared" ref="U41" si="53">$E$1</f>
        <v>SW TOKIO</v>
      </c>
      <c r="V41" s="89"/>
      <c r="W41" s="89"/>
      <c r="X41" s="89"/>
    </row>
    <row r="42" spans="1:24" ht="15.75" customHeight="1" x14ac:dyDescent="0.3">
      <c r="B42" s="97"/>
      <c r="C42" s="98"/>
      <c r="D42" s="75"/>
      <c r="E42" s="89"/>
      <c r="F42" s="89"/>
      <c r="G42" s="89"/>
      <c r="H42" s="89"/>
      <c r="J42" s="97"/>
      <c r="K42" s="98"/>
      <c r="L42" s="75"/>
      <c r="M42" s="89"/>
      <c r="N42" s="89"/>
      <c r="O42" s="89"/>
      <c r="P42" s="89"/>
      <c r="R42" s="97"/>
      <c r="S42" s="98"/>
      <c r="T42" s="75"/>
      <c r="U42" s="89"/>
      <c r="V42" s="89"/>
      <c r="W42" s="89"/>
      <c r="X42" s="89"/>
    </row>
    <row r="43" spans="1:24" s="80" customFormat="1" ht="21" customHeight="1" x14ac:dyDescent="0.3">
      <c r="A43" s="78"/>
      <c r="B43" s="97"/>
      <c r="C43" s="98"/>
      <c r="D43" s="79"/>
      <c r="E43" s="93" t="s">
        <v>2</v>
      </c>
      <c r="F43" s="93"/>
      <c r="G43" s="93"/>
      <c r="H43" s="93"/>
      <c r="I43" s="78"/>
      <c r="J43" s="97"/>
      <c r="K43" s="98"/>
      <c r="L43" s="79"/>
      <c r="M43" s="93" t="s">
        <v>2</v>
      </c>
      <c r="N43" s="93"/>
      <c r="O43" s="93"/>
      <c r="P43" s="93"/>
      <c r="Q43" s="78"/>
      <c r="R43" s="97"/>
      <c r="S43" s="98"/>
      <c r="T43" s="79"/>
      <c r="U43" s="93" t="s">
        <v>2</v>
      </c>
      <c r="V43" s="93"/>
      <c r="W43" s="93"/>
      <c r="X43" s="93"/>
    </row>
    <row r="44" spans="1:24" ht="57.75" customHeight="1" x14ac:dyDescent="0.3">
      <c r="B44" s="97"/>
      <c r="C44" s="98"/>
      <c r="D44" s="75"/>
      <c r="E44" s="91" t="str">
        <f t="shared" ref="E44" si="54">$E$4</f>
        <v>T-8255</v>
      </c>
      <c r="F44" s="91"/>
      <c r="G44" s="91"/>
      <c r="H44" s="91"/>
      <c r="J44" s="97"/>
      <c r="K44" s="98"/>
      <c r="L44" s="75"/>
      <c r="M44" s="91" t="str">
        <f t="shared" ref="M44" si="55">$E$4</f>
        <v>T-8255</v>
      </c>
      <c r="N44" s="91"/>
      <c r="O44" s="91"/>
      <c r="P44" s="91"/>
      <c r="R44" s="97"/>
      <c r="S44" s="98"/>
      <c r="T44" s="75"/>
      <c r="U44" s="91" t="str">
        <f t="shared" ref="U44" si="56">$E$4</f>
        <v>T-8255</v>
      </c>
      <c r="V44" s="91"/>
      <c r="W44" s="91"/>
      <c r="X44" s="91"/>
    </row>
    <row r="45" spans="1:24" s="80" customFormat="1" ht="21" customHeight="1" x14ac:dyDescent="0.3">
      <c r="A45" s="78"/>
      <c r="B45" s="97"/>
      <c r="C45" s="98"/>
      <c r="D45" s="79"/>
      <c r="E45" s="93" t="s">
        <v>132</v>
      </c>
      <c r="F45" s="93"/>
      <c r="G45" s="93"/>
      <c r="H45" s="93"/>
      <c r="I45" s="78"/>
      <c r="J45" s="97"/>
      <c r="K45" s="98"/>
      <c r="L45" s="79"/>
      <c r="M45" s="93" t="s">
        <v>132</v>
      </c>
      <c r="N45" s="93"/>
      <c r="O45" s="93"/>
      <c r="P45" s="93"/>
      <c r="Q45" s="78"/>
      <c r="R45" s="97"/>
      <c r="S45" s="98"/>
      <c r="T45" s="79"/>
      <c r="U45" s="93" t="s">
        <v>132</v>
      </c>
      <c r="V45" s="93"/>
      <c r="W45" s="93"/>
      <c r="X45" s="93"/>
    </row>
    <row r="46" spans="1:24" ht="57.75" customHeight="1" x14ac:dyDescent="0.3">
      <c r="B46" s="97"/>
      <c r="C46" s="98"/>
      <c r="D46" s="75"/>
      <c r="E46" s="92">
        <v>1530</v>
      </c>
      <c r="F46" s="92"/>
      <c r="G46" s="92"/>
      <c r="H46" s="92"/>
      <c r="J46" s="97"/>
      <c r="K46" s="98"/>
      <c r="L46" s="75"/>
      <c r="M46" s="92">
        <f t="shared" ref="M46" si="57">$E$6</f>
        <v>1286</v>
      </c>
      <c r="N46" s="92"/>
      <c r="O46" s="92"/>
      <c r="P46" s="92"/>
      <c r="R46" s="97"/>
      <c r="S46" s="98"/>
      <c r="T46" s="75"/>
      <c r="U46" s="92">
        <f t="shared" ref="U46" si="58">$E$6</f>
        <v>1286</v>
      </c>
      <c r="V46" s="92"/>
      <c r="W46" s="92"/>
      <c r="X46" s="92"/>
    </row>
    <row r="47" spans="1:24" s="80" customFormat="1" ht="21" customHeight="1" x14ac:dyDescent="0.3">
      <c r="A47" s="78"/>
      <c r="B47" s="97"/>
      <c r="C47" s="98"/>
      <c r="D47" s="79"/>
      <c r="E47" s="93" t="s">
        <v>5</v>
      </c>
      <c r="F47" s="93"/>
      <c r="G47" s="93"/>
      <c r="H47" s="93"/>
      <c r="I47" s="78"/>
      <c r="J47" s="97"/>
      <c r="K47" s="98"/>
      <c r="L47" s="79"/>
      <c r="M47" s="93" t="s">
        <v>5</v>
      </c>
      <c r="N47" s="93"/>
      <c r="O47" s="93"/>
      <c r="P47" s="93"/>
      <c r="Q47" s="78"/>
      <c r="R47" s="97"/>
      <c r="S47" s="98"/>
      <c r="T47" s="79"/>
      <c r="U47" s="93" t="s">
        <v>5</v>
      </c>
      <c r="V47" s="93"/>
      <c r="W47" s="93"/>
      <c r="X47" s="93"/>
    </row>
    <row r="48" spans="1:24" ht="18.75" customHeight="1" x14ac:dyDescent="0.45">
      <c r="B48" s="97"/>
      <c r="C48" s="98"/>
      <c r="D48" s="75"/>
      <c r="E48" s="94" t="str">
        <f>$E$8</f>
        <v>TMI-7D43</v>
      </c>
      <c r="F48" s="74"/>
      <c r="G48" s="95" t="str">
        <f t="shared" ref="G48" si="59">_xlfn.CONCAT(A49,"/",$Z$4)</f>
        <v>13/24</v>
      </c>
      <c r="H48" s="96"/>
      <c r="J48" s="97"/>
      <c r="K48" s="98"/>
      <c r="L48" s="75"/>
      <c r="M48" s="94" t="str">
        <f t="shared" ref="M48" si="60">$E$8</f>
        <v>TMI-7D43</v>
      </c>
      <c r="N48" s="74"/>
      <c r="O48" s="95" t="str">
        <f t="shared" ref="O48" si="61">_xlfn.CONCAT(I49,"/",$Z$4)</f>
        <v>14/24</v>
      </c>
      <c r="P48" s="96"/>
      <c r="R48" s="97"/>
      <c r="S48" s="98"/>
      <c r="T48" s="75"/>
      <c r="U48" s="94" t="str">
        <f t="shared" ref="U48" si="62">$E$8</f>
        <v>TMI-7D43</v>
      </c>
      <c r="V48" s="74"/>
      <c r="W48" s="95" t="str">
        <f t="shared" ref="W48" si="63">_xlfn.CONCAT(Q49,"/",$Z$4)</f>
        <v>15/24</v>
      </c>
      <c r="X48" s="96"/>
    </row>
    <row r="49" spans="1:24" ht="36" customHeight="1" x14ac:dyDescent="0.45">
      <c r="A49" s="77">
        <v>13</v>
      </c>
      <c r="B49" s="97"/>
      <c r="C49" s="98"/>
      <c r="D49" s="75"/>
      <c r="E49" s="94"/>
      <c r="F49" s="74"/>
      <c r="G49" s="95"/>
      <c r="H49" s="96"/>
      <c r="I49" s="77">
        <v>14</v>
      </c>
      <c r="J49" s="97"/>
      <c r="K49" s="98"/>
      <c r="L49" s="75"/>
      <c r="M49" s="94"/>
      <c r="N49" s="74"/>
      <c r="O49" s="95"/>
      <c r="P49" s="96"/>
      <c r="Q49" s="77">
        <v>15</v>
      </c>
      <c r="R49" s="97"/>
      <c r="S49" s="98"/>
      <c r="T49" s="75"/>
      <c r="U49" s="94"/>
      <c r="V49" s="74"/>
      <c r="W49" s="95"/>
      <c r="X49" s="96"/>
    </row>
    <row r="50" spans="1:24" ht="15.75" customHeight="1" x14ac:dyDescent="0.45"/>
    <row r="51" spans="1:24" ht="15" customHeight="1" x14ac:dyDescent="0.3">
      <c r="B51" s="97" t="s">
        <v>28</v>
      </c>
      <c r="C51" s="98" t="str">
        <f t="shared" ref="C51" si="64">$C$1</f>
        <v>CBT/RACK</v>
      </c>
      <c r="D51" s="75"/>
      <c r="E51" s="89" t="str">
        <f t="shared" si="15"/>
        <v>SW TOKIO</v>
      </c>
      <c r="F51" s="89"/>
      <c r="G51" s="89"/>
      <c r="H51" s="89"/>
      <c r="J51" s="97" t="s">
        <v>28</v>
      </c>
      <c r="K51" s="98" t="str">
        <f t="shared" ref="K51" si="65">$C$1</f>
        <v>CBT/RACK</v>
      </c>
      <c r="L51" s="75"/>
      <c r="M51" s="89" t="str">
        <f t="shared" ref="M51" si="66">$E$1</f>
        <v>SW TOKIO</v>
      </c>
      <c r="N51" s="89"/>
      <c r="O51" s="89"/>
      <c r="P51" s="89"/>
      <c r="R51" s="97" t="s">
        <v>28</v>
      </c>
      <c r="S51" s="98" t="str">
        <f t="shared" ref="S51" si="67">$C$1</f>
        <v>CBT/RACK</v>
      </c>
      <c r="T51" s="75"/>
      <c r="U51" s="89" t="str">
        <f t="shared" ref="U51" si="68">$E$1</f>
        <v>SW TOKIO</v>
      </c>
      <c r="V51" s="89"/>
      <c r="W51" s="89"/>
      <c r="X51" s="89"/>
    </row>
    <row r="52" spans="1:24" ht="15.75" customHeight="1" x14ac:dyDescent="0.3">
      <c r="B52" s="97"/>
      <c r="C52" s="98"/>
      <c r="D52" s="75"/>
      <c r="E52" s="89"/>
      <c r="F52" s="89"/>
      <c r="G52" s="89"/>
      <c r="H52" s="89"/>
      <c r="J52" s="97"/>
      <c r="K52" s="98"/>
      <c r="L52" s="75"/>
      <c r="M52" s="89"/>
      <c r="N52" s="89"/>
      <c r="O52" s="89"/>
      <c r="P52" s="89"/>
      <c r="R52" s="97"/>
      <c r="S52" s="98"/>
      <c r="T52" s="75"/>
      <c r="U52" s="89"/>
      <c r="V52" s="89"/>
      <c r="W52" s="89"/>
      <c r="X52" s="89"/>
    </row>
    <row r="53" spans="1:24" s="80" customFormat="1" ht="21" customHeight="1" x14ac:dyDescent="0.3">
      <c r="A53" s="78"/>
      <c r="B53" s="97"/>
      <c r="C53" s="98"/>
      <c r="D53" s="79"/>
      <c r="E53" s="93" t="s">
        <v>2</v>
      </c>
      <c r="F53" s="93"/>
      <c r="G53" s="93"/>
      <c r="H53" s="93"/>
      <c r="I53" s="78"/>
      <c r="J53" s="97"/>
      <c r="K53" s="98"/>
      <c r="L53" s="79"/>
      <c r="M53" s="93" t="s">
        <v>2</v>
      </c>
      <c r="N53" s="93"/>
      <c r="O53" s="93"/>
      <c r="P53" s="93"/>
      <c r="Q53" s="78"/>
      <c r="R53" s="97"/>
      <c r="S53" s="98"/>
      <c r="T53" s="79"/>
      <c r="U53" s="93" t="s">
        <v>2</v>
      </c>
      <c r="V53" s="93"/>
      <c r="W53" s="93"/>
      <c r="X53" s="93"/>
    </row>
    <row r="54" spans="1:24" ht="57.75" customHeight="1" x14ac:dyDescent="0.3">
      <c r="B54" s="97"/>
      <c r="C54" s="98"/>
      <c r="D54" s="75"/>
      <c r="E54" s="91" t="str">
        <f t="shared" ref="E54" si="69">$E$4</f>
        <v>T-8255</v>
      </c>
      <c r="F54" s="91"/>
      <c r="G54" s="91"/>
      <c r="H54" s="91"/>
      <c r="J54" s="97"/>
      <c r="K54" s="98"/>
      <c r="L54" s="75"/>
      <c r="M54" s="91" t="str">
        <f t="shared" ref="M54" si="70">$E$4</f>
        <v>T-8255</v>
      </c>
      <c r="N54" s="91"/>
      <c r="O54" s="91"/>
      <c r="P54" s="91"/>
      <c r="R54" s="97"/>
      <c r="S54" s="98"/>
      <c r="T54" s="75"/>
      <c r="U54" s="91" t="str">
        <f t="shared" ref="U54" si="71">$E$4</f>
        <v>T-8255</v>
      </c>
      <c r="V54" s="91"/>
      <c r="W54" s="91"/>
      <c r="X54" s="91"/>
    </row>
    <row r="55" spans="1:24" s="80" customFormat="1" ht="21" customHeight="1" x14ac:dyDescent="0.3">
      <c r="A55" s="78"/>
      <c r="B55" s="97"/>
      <c r="C55" s="98"/>
      <c r="D55" s="79"/>
      <c r="E55" s="93" t="s">
        <v>132</v>
      </c>
      <c r="F55" s="93"/>
      <c r="G55" s="93"/>
      <c r="H55" s="93"/>
      <c r="I55" s="78"/>
      <c r="J55" s="97"/>
      <c r="K55" s="98"/>
      <c r="L55" s="79"/>
      <c r="M55" s="93" t="s">
        <v>132</v>
      </c>
      <c r="N55" s="93"/>
      <c r="O55" s="93"/>
      <c r="P55" s="93"/>
      <c r="Q55" s="78"/>
      <c r="R55" s="97"/>
      <c r="S55" s="98"/>
      <c r="T55" s="79"/>
      <c r="U55" s="93" t="s">
        <v>132</v>
      </c>
      <c r="V55" s="93"/>
      <c r="W55" s="93"/>
      <c r="X55" s="93"/>
    </row>
    <row r="56" spans="1:24" ht="57.75" customHeight="1" x14ac:dyDescent="0.3">
      <c r="B56" s="97"/>
      <c r="C56" s="98"/>
      <c r="D56" s="75"/>
      <c r="E56" s="92">
        <f t="shared" ref="E56" si="72">$E$6</f>
        <v>1286</v>
      </c>
      <c r="F56" s="92"/>
      <c r="G56" s="92"/>
      <c r="H56" s="92"/>
      <c r="J56" s="97"/>
      <c r="K56" s="98"/>
      <c r="L56" s="75"/>
      <c r="M56" s="92">
        <f t="shared" ref="M56" si="73">$E$6</f>
        <v>1286</v>
      </c>
      <c r="N56" s="92"/>
      <c r="O56" s="92"/>
      <c r="P56" s="92"/>
      <c r="R56" s="97"/>
      <c r="S56" s="98"/>
      <c r="T56" s="75"/>
      <c r="U56" s="92">
        <f t="shared" ref="U56" si="74">$E$6</f>
        <v>1286</v>
      </c>
      <c r="V56" s="92"/>
      <c r="W56" s="92"/>
      <c r="X56" s="92"/>
    </row>
    <row r="57" spans="1:24" s="80" customFormat="1" ht="21" customHeight="1" x14ac:dyDescent="0.3">
      <c r="A57" s="78"/>
      <c r="B57" s="97"/>
      <c r="C57" s="98"/>
      <c r="D57" s="79"/>
      <c r="E57" s="93" t="s">
        <v>5</v>
      </c>
      <c r="F57" s="93"/>
      <c r="G57" s="93"/>
      <c r="H57" s="93"/>
      <c r="I57" s="78"/>
      <c r="J57" s="97"/>
      <c r="K57" s="98"/>
      <c r="L57" s="79"/>
      <c r="M57" s="93" t="s">
        <v>5</v>
      </c>
      <c r="N57" s="93"/>
      <c r="O57" s="93"/>
      <c r="P57" s="93"/>
      <c r="Q57" s="78"/>
      <c r="R57" s="97"/>
      <c r="S57" s="98"/>
      <c r="T57" s="79"/>
      <c r="U57" s="93" t="s">
        <v>5</v>
      </c>
      <c r="V57" s="93"/>
      <c r="W57" s="93"/>
      <c r="X57" s="93"/>
    </row>
    <row r="58" spans="1:24" ht="18.75" customHeight="1" x14ac:dyDescent="0.45">
      <c r="B58" s="97"/>
      <c r="C58" s="98"/>
      <c r="D58" s="75"/>
      <c r="E58" s="94" t="str">
        <f t="shared" ref="E58" si="75">$E$8</f>
        <v>TMI-7D43</v>
      </c>
      <c r="F58" s="74"/>
      <c r="G58" s="95" t="str">
        <f t="shared" ref="G58" si="76">_xlfn.CONCAT(A59,"/",$Z$4)</f>
        <v>16/24</v>
      </c>
      <c r="H58" s="96"/>
      <c r="J58" s="97"/>
      <c r="K58" s="98"/>
      <c r="L58" s="75"/>
      <c r="M58" s="94" t="str">
        <f t="shared" ref="M58" si="77">$E$8</f>
        <v>TMI-7D43</v>
      </c>
      <c r="N58" s="74"/>
      <c r="O58" s="95" t="str">
        <f t="shared" ref="O58" si="78">_xlfn.CONCAT(I59,"/",$Z$4)</f>
        <v>17/24</v>
      </c>
      <c r="P58" s="96"/>
      <c r="R58" s="97"/>
      <c r="S58" s="98"/>
      <c r="T58" s="75"/>
      <c r="U58" s="94" t="str">
        <f t="shared" ref="U58" si="79">$E$8</f>
        <v>TMI-7D43</v>
      </c>
      <c r="V58" s="74"/>
      <c r="W58" s="95" t="str">
        <f t="shared" ref="W58" si="80">_xlfn.CONCAT(Q59,"/",$Z$4)</f>
        <v>18/24</v>
      </c>
      <c r="X58" s="96"/>
    </row>
    <row r="59" spans="1:24" ht="36" customHeight="1" x14ac:dyDescent="0.45">
      <c r="A59" s="77">
        <v>16</v>
      </c>
      <c r="B59" s="97"/>
      <c r="C59" s="98"/>
      <c r="D59" s="75"/>
      <c r="E59" s="94"/>
      <c r="F59" s="74"/>
      <c r="G59" s="95"/>
      <c r="H59" s="96"/>
      <c r="I59" s="77">
        <v>17</v>
      </c>
      <c r="J59" s="97"/>
      <c r="K59" s="98"/>
      <c r="L59" s="75"/>
      <c r="M59" s="94"/>
      <c r="N59" s="74"/>
      <c r="O59" s="95"/>
      <c r="P59" s="96"/>
      <c r="Q59" s="77">
        <v>18</v>
      </c>
      <c r="R59" s="97"/>
      <c r="S59" s="98"/>
      <c r="T59" s="75"/>
      <c r="U59" s="94"/>
      <c r="V59" s="74"/>
      <c r="W59" s="95"/>
      <c r="X59" s="96"/>
    </row>
    <row r="60" spans="1:24" ht="15.75" customHeight="1" x14ac:dyDescent="0.45"/>
    <row r="61" spans="1:24" ht="15" customHeight="1" x14ac:dyDescent="0.3">
      <c r="B61" s="97" t="s">
        <v>28</v>
      </c>
      <c r="C61" s="98" t="str">
        <f t="shared" ref="C61" si="81">$C$1</f>
        <v>CBT/RACK</v>
      </c>
      <c r="D61" s="75"/>
      <c r="E61" s="89" t="str">
        <f t="shared" si="15"/>
        <v>SW TOKIO</v>
      </c>
      <c r="F61" s="89"/>
      <c r="G61" s="89"/>
      <c r="H61" s="89"/>
      <c r="J61" s="97" t="s">
        <v>28</v>
      </c>
      <c r="K61" s="98" t="str">
        <f t="shared" ref="K61" si="82">$C$1</f>
        <v>CBT/RACK</v>
      </c>
      <c r="L61" s="75"/>
      <c r="M61" s="89" t="str">
        <f t="shared" ref="M61" si="83">$E$1</f>
        <v>SW TOKIO</v>
      </c>
      <c r="N61" s="89"/>
      <c r="O61" s="89"/>
      <c r="P61" s="89"/>
      <c r="R61" s="97" t="s">
        <v>28</v>
      </c>
      <c r="S61" s="98" t="str">
        <f t="shared" ref="S61" si="84">$C$1</f>
        <v>CBT/RACK</v>
      </c>
      <c r="T61" s="75"/>
      <c r="U61" s="89" t="str">
        <f t="shared" ref="U61" si="85">$E$1</f>
        <v>SW TOKIO</v>
      </c>
      <c r="V61" s="89"/>
      <c r="W61" s="89"/>
      <c r="X61" s="89"/>
    </row>
    <row r="62" spans="1:24" ht="15.75" customHeight="1" x14ac:dyDescent="0.3">
      <c r="B62" s="97"/>
      <c r="C62" s="98"/>
      <c r="D62" s="75"/>
      <c r="E62" s="89"/>
      <c r="F62" s="89"/>
      <c r="G62" s="89"/>
      <c r="H62" s="89"/>
      <c r="J62" s="97"/>
      <c r="K62" s="98"/>
      <c r="L62" s="75"/>
      <c r="M62" s="89"/>
      <c r="N62" s="89"/>
      <c r="O62" s="89"/>
      <c r="P62" s="89"/>
      <c r="R62" s="97"/>
      <c r="S62" s="98"/>
      <c r="T62" s="75"/>
      <c r="U62" s="89"/>
      <c r="V62" s="89"/>
      <c r="W62" s="89"/>
      <c r="X62" s="89"/>
    </row>
    <row r="63" spans="1:24" s="80" customFormat="1" ht="21" customHeight="1" x14ac:dyDescent="0.3">
      <c r="A63" s="78"/>
      <c r="B63" s="97"/>
      <c r="C63" s="98"/>
      <c r="D63" s="79"/>
      <c r="E63" s="93" t="s">
        <v>2</v>
      </c>
      <c r="F63" s="93"/>
      <c r="G63" s="93"/>
      <c r="H63" s="93"/>
      <c r="I63" s="78"/>
      <c r="J63" s="97"/>
      <c r="K63" s="98"/>
      <c r="L63" s="79"/>
      <c r="M63" s="93" t="s">
        <v>2</v>
      </c>
      <c r="N63" s="93"/>
      <c r="O63" s="93"/>
      <c r="P63" s="93"/>
      <c r="Q63" s="78"/>
      <c r="R63" s="97"/>
      <c r="S63" s="98"/>
      <c r="T63" s="79"/>
      <c r="U63" s="93" t="s">
        <v>2</v>
      </c>
      <c r="V63" s="93"/>
      <c r="W63" s="93"/>
      <c r="X63" s="93"/>
    </row>
    <row r="64" spans="1:24" ht="57.75" customHeight="1" x14ac:dyDescent="0.3">
      <c r="B64" s="97"/>
      <c r="C64" s="98"/>
      <c r="D64" s="75"/>
      <c r="E64" s="91" t="str">
        <f t="shared" ref="E64" si="86">$E$4</f>
        <v>T-8255</v>
      </c>
      <c r="F64" s="91"/>
      <c r="G64" s="91"/>
      <c r="H64" s="91"/>
      <c r="J64" s="97"/>
      <c r="K64" s="98"/>
      <c r="L64" s="75"/>
      <c r="M64" s="91" t="str">
        <f t="shared" ref="M64" si="87">$E$4</f>
        <v>T-8255</v>
      </c>
      <c r="N64" s="91"/>
      <c r="O64" s="91"/>
      <c r="P64" s="91"/>
      <c r="R64" s="97"/>
      <c r="S64" s="98"/>
      <c r="T64" s="75"/>
      <c r="U64" s="91" t="str">
        <f t="shared" ref="U64" si="88">$E$4</f>
        <v>T-8255</v>
      </c>
      <c r="V64" s="91"/>
      <c r="W64" s="91"/>
      <c r="X64" s="91"/>
    </row>
    <row r="65" spans="1:24" s="80" customFormat="1" ht="21" customHeight="1" x14ac:dyDescent="0.3">
      <c r="A65" s="78"/>
      <c r="B65" s="97"/>
      <c r="C65" s="98"/>
      <c r="D65" s="79"/>
      <c r="E65" s="93" t="s">
        <v>132</v>
      </c>
      <c r="F65" s="93"/>
      <c r="G65" s="93"/>
      <c r="H65" s="93"/>
      <c r="I65" s="78"/>
      <c r="J65" s="97"/>
      <c r="K65" s="98"/>
      <c r="L65" s="79"/>
      <c r="M65" s="93" t="s">
        <v>132</v>
      </c>
      <c r="N65" s="93"/>
      <c r="O65" s="93"/>
      <c r="P65" s="93"/>
      <c r="Q65" s="78"/>
      <c r="R65" s="97"/>
      <c r="S65" s="98"/>
      <c r="T65" s="79"/>
      <c r="U65" s="93" t="s">
        <v>132</v>
      </c>
      <c r="V65" s="93"/>
      <c r="W65" s="93"/>
      <c r="X65" s="93"/>
    </row>
    <row r="66" spans="1:24" ht="57.75" customHeight="1" x14ac:dyDescent="0.3">
      <c r="B66" s="97"/>
      <c r="C66" s="98"/>
      <c r="D66" s="75"/>
      <c r="E66" s="92">
        <f t="shared" ref="E66" si="89">$E$6</f>
        <v>1286</v>
      </c>
      <c r="F66" s="92"/>
      <c r="G66" s="92"/>
      <c r="H66" s="92"/>
      <c r="J66" s="97"/>
      <c r="K66" s="98"/>
      <c r="L66" s="75"/>
      <c r="M66" s="92">
        <f t="shared" ref="M66" si="90">$E$6</f>
        <v>1286</v>
      </c>
      <c r="N66" s="92"/>
      <c r="O66" s="92"/>
      <c r="P66" s="92"/>
      <c r="R66" s="97"/>
      <c r="S66" s="98"/>
      <c r="T66" s="75"/>
      <c r="U66" s="92">
        <f t="shared" ref="U66" si="91">$E$6</f>
        <v>1286</v>
      </c>
      <c r="V66" s="92"/>
      <c r="W66" s="92"/>
      <c r="X66" s="92"/>
    </row>
    <row r="67" spans="1:24" s="80" customFormat="1" ht="21" customHeight="1" x14ac:dyDescent="0.3">
      <c r="A67" s="78"/>
      <c r="B67" s="97"/>
      <c r="C67" s="98"/>
      <c r="D67" s="79"/>
      <c r="E67" s="93" t="s">
        <v>5</v>
      </c>
      <c r="F67" s="93"/>
      <c r="G67" s="93"/>
      <c r="H67" s="93"/>
      <c r="I67" s="78"/>
      <c r="J67" s="97"/>
      <c r="K67" s="98"/>
      <c r="L67" s="79"/>
      <c r="M67" s="93" t="s">
        <v>5</v>
      </c>
      <c r="N67" s="93"/>
      <c r="O67" s="93"/>
      <c r="P67" s="93"/>
      <c r="Q67" s="78"/>
      <c r="R67" s="97"/>
      <c r="S67" s="98"/>
      <c r="T67" s="79"/>
      <c r="U67" s="93" t="s">
        <v>5</v>
      </c>
      <c r="V67" s="93"/>
      <c r="W67" s="93"/>
      <c r="X67" s="93"/>
    </row>
    <row r="68" spans="1:24" ht="18.75" customHeight="1" x14ac:dyDescent="0.45">
      <c r="B68" s="97"/>
      <c r="C68" s="98"/>
      <c r="D68" s="75"/>
      <c r="E68" s="94" t="str">
        <f t="shared" ref="E68" si="92">$E$8</f>
        <v>TMI-7D43</v>
      </c>
      <c r="F68" s="74"/>
      <c r="G68" s="95" t="str">
        <f>_xlfn.CONCAT(A69,"/",$Z$4)</f>
        <v>19/24</v>
      </c>
      <c r="H68" s="96"/>
      <c r="J68" s="97"/>
      <c r="K68" s="98"/>
      <c r="L68" s="75"/>
      <c r="M68" s="94" t="str">
        <f t="shared" ref="M68" si="93">$E$8</f>
        <v>TMI-7D43</v>
      </c>
      <c r="N68" s="74"/>
      <c r="O68" s="95" t="str">
        <f>_xlfn.CONCAT(I69,"/",$Z$4)</f>
        <v>20/24</v>
      </c>
      <c r="P68" s="96"/>
      <c r="R68" s="97"/>
      <c r="S68" s="98"/>
      <c r="T68" s="75"/>
      <c r="U68" s="94" t="str">
        <f t="shared" ref="U68" si="94">$E$8</f>
        <v>TMI-7D43</v>
      </c>
      <c r="V68" s="74"/>
      <c r="W68" s="95" t="str">
        <f t="shared" ref="W68" si="95">_xlfn.CONCAT(Q69,"/",$Z$4)</f>
        <v>21/24</v>
      </c>
      <c r="X68" s="96"/>
    </row>
    <row r="69" spans="1:24" ht="36" customHeight="1" x14ac:dyDescent="0.45">
      <c r="A69" s="77">
        <v>19</v>
      </c>
      <c r="B69" s="97"/>
      <c r="C69" s="98"/>
      <c r="D69" s="75"/>
      <c r="E69" s="94"/>
      <c r="F69" s="74"/>
      <c r="G69" s="95"/>
      <c r="H69" s="96"/>
      <c r="I69" s="77">
        <v>20</v>
      </c>
      <c r="J69" s="97"/>
      <c r="K69" s="98"/>
      <c r="L69" s="75"/>
      <c r="M69" s="94"/>
      <c r="N69" s="74"/>
      <c r="O69" s="95"/>
      <c r="P69" s="96"/>
      <c r="Q69" s="77">
        <v>21</v>
      </c>
      <c r="R69" s="97"/>
      <c r="S69" s="98"/>
      <c r="T69" s="75"/>
      <c r="U69" s="94"/>
      <c r="V69" s="74"/>
      <c r="W69" s="95"/>
      <c r="X69" s="96"/>
    </row>
    <row r="70" spans="1:24" ht="15.75" customHeight="1" x14ac:dyDescent="0.45"/>
    <row r="71" spans="1:24" ht="15" customHeight="1" x14ac:dyDescent="0.3">
      <c r="B71" s="97" t="s">
        <v>28</v>
      </c>
      <c r="C71" s="98" t="str">
        <f t="shared" ref="C71" si="96">$C$1</f>
        <v>CBT/RACK</v>
      </c>
      <c r="D71" s="75"/>
      <c r="E71" s="89" t="str">
        <f t="shared" si="15"/>
        <v>SW TOKIO</v>
      </c>
      <c r="F71" s="89"/>
      <c r="G71" s="89"/>
      <c r="H71" s="89"/>
      <c r="J71" s="97" t="s">
        <v>28</v>
      </c>
      <c r="K71" s="98" t="str">
        <f t="shared" ref="K71" si="97">$C$1</f>
        <v>CBT/RACK</v>
      </c>
      <c r="L71" s="75"/>
      <c r="M71" s="89" t="str">
        <f t="shared" ref="M71" si="98">$E$1</f>
        <v>SW TOKIO</v>
      </c>
      <c r="N71" s="89"/>
      <c r="O71" s="89"/>
      <c r="P71" s="89"/>
      <c r="R71" s="97" t="s">
        <v>28</v>
      </c>
      <c r="S71" s="98" t="str">
        <f t="shared" ref="S71" si="99">$C$1</f>
        <v>CBT/RACK</v>
      </c>
      <c r="T71" s="75"/>
      <c r="U71" s="89" t="str">
        <f t="shared" ref="U71" si="100">$E$1</f>
        <v>SW TOKIO</v>
      </c>
      <c r="V71" s="89"/>
      <c r="W71" s="89"/>
      <c r="X71" s="89"/>
    </row>
    <row r="72" spans="1:24" ht="15.75" customHeight="1" x14ac:dyDescent="0.3">
      <c r="B72" s="97"/>
      <c r="C72" s="98"/>
      <c r="D72" s="75"/>
      <c r="E72" s="89"/>
      <c r="F72" s="89"/>
      <c r="G72" s="89"/>
      <c r="H72" s="89"/>
      <c r="J72" s="97"/>
      <c r="K72" s="98"/>
      <c r="L72" s="75"/>
      <c r="M72" s="89"/>
      <c r="N72" s="89"/>
      <c r="O72" s="89"/>
      <c r="P72" s="89"/>
      <c r="R72" s="97"/>
      <c r="S72" s="98"/>
      <c r="T72" s="75"/>
      <c r="U72" s="89"/>
      <c r="V72" s="89"/>
      <c r="W72" s="89"/>
      <c r="X72" s="89"/>
    </row>
    <row r="73" spans="1:24" s="80" customFormat="1" ht="21" customHeight="1" x14ac:dyDescent="0.3">
      <c r="A73" s="78"/>
      <c r="B73" s="97"/>
      <c r="C73" s="98"/>
      <c r="D73" s="79"/>
      <c r="E73" s="93" t="s">
        <v>2</v>
      </c>
      <c r="F73" s="93"/>
      <c r="G73" s="93"/>
      <c r="H73" s="93"/>
      <c r="I73" s="78"/>
      <c r="J73" s="97"/>
      <c r="K73" s="98"/>
      <c r="L73" s="79"/>
      <c r="M73" s="93" t="s">
        <v>2</v>
      </c>
      <c r="N73" s="93"/>
      <c r="O73" s="93"/>
      <c r="P73" s="93"/>
      <c r="Q73" s="78"/>
      <c r="R73" s="97"/>
      <c r="S73" s="98"/>
      <c r="T73" s="79"/>
      <c r="U73" s="93" t="s">
        <v>2</v>
      </c>
      <c r="V73" s="93"/>
      <c r="W73" s="93"/>
      <c r="X73" s="93"/>
    </row>
    <row r="74" spans="1:24" ht="57.75" customHeight="1" x14ac:dyDescent="0.3">
      <c r="B74" s="97"/>
      <c r="C74" s="98"/>
      <c r="D74" s="75"/>
      <c r="E74" s="91" t="str">
        <f t="shared" ref="E74" si="101">$E$4</f>
        <v>T-8255</v>
      </c>
      <c r="F74" s="91"/>
      <c r="G74" s="91"/>
      <c r="H74" s="91"/>
      <c r="J74" s="97"/>
      <c r="K74" s="98"/>
      <c r="L74" s="75"/>
      <c r="M74" s="91" t="str">
        <f t="shared" ref="M74" si="102">$E$4</f>
        <v>T-8255</v>
      </c>
      <c r="N74" s="91"/>
      <c r="O74" s="91"/>
      <c r="P74" s="91"/>
      <c r="R74" s="97"/>
      <c r="S74" s="98"/>
      <c r="T74" s="75"/>
      <c r="U74" s="91" t="str">
        <f t="shared" ref="U74" si="103">$E$4</f>
        <v>T-8255</v>
      </c>
      <c r="V74" s="91"/>
      <c r="W74" s="91"/>
      <c r="X74" s="91"/>
    </row>
    <row r="75" spans="1:24" s="80" customFormat="1" ht="21" customHeight="1" x14ac:dyDescent="0.3">
      <c r="A75" s="78"/>
      <c r="B75" s="97"/>
      <c r="C75" s="98"/>
      <c r="D75" s="79"/>
      <c r="E75" s="93" t="s">
        <v>132</v>
      </c>
      <c r="F75" s="93"/>
      <c r="G75" s="93"/>
      <c r="H75" s="93"/>
      <c r="I75" s="78"/>
      <c r="J75" s="97"/>
      <c r="K75" s="98"/>
      <c r="L75" s="79"/>
      <c r="M75" s="93" t="s">
        <v>132</v>
      </c>
      <c r="N75" s="93"/>
      <c r="O75" s="93"/>
      <c r="P75" s="93"/>
      <c r="Q75" s="78"/>
      <c r="R75" s="97"/>
      <c r="S75" s="98"/>
      <c r="T75" s="79"/>
      <c r="U75" s="93" t="s">
        <v>132</v>
      </c>
      <c r="V75" s="93"/>
      <c r="W75" s="93"/>
      <c r="X75" s="93"/>
    </row>
    <row r="76" spans="1:24" ht="57.75" customHeight="1" x14ac:dyDescent="0.3">
      <c r="B76" s="97"/>
      <c r="C76" s="98"/>
      <c r="D76" s="75"/>
      <c r="E76" s="92">
        <f t="shared" ref="E76" si="104">$E$6</f>
        <v>1286</v>
      </c>
      <c r="F76" s="92"/>
      <c r="G76" s="92"/>
      <c r="H76" s="92"/>
      <c r="J76" s="97"/>
      <c r="K76" s="98"/>
      <c r="L76" s="75"/>
      <c r="M76" s="92">
        <f t="shared" ref="M76" si="105">$E$6</f>
        <v>1286</v>
      </c>
      <c r="N76" s="92"/>
      <c r="O76" s="92"/>
      <c r="P76" s="92"/>
      <c r="R76" s="97"/>
      <c r="S76" s="98"/>
      <c r="T76" s="75"/>
      <c r="U76" s="92">
        <f t="shared" ref="U76" si="106">$E$6</f>
        <v>1286</v>
      </c>
      <c r="V76" s="92"/>
      <c r="W76" s="92"/>
      <c r="X76" s="92"/>
    </row>
    <row r="77" spans="1:24" s="80" customFormat="1" ht="21" customHeight="1" x14ac:dyDescent="0.3">
      <c r="A77" s="78"/>
      <c r="B77" s="97"/>
      <c r="C77" s="98"/>
      <c r="D77" s="79"/>
      <c r="E77" s="93" t="s">
        <v>5</v>
      </c>
      <c r="F77" s="93"/>
      <c r="G77" s="93"/>
      <c r="H77" s="93"/>
      <c r="I77" s="78"/>
      <c r="J77" s="97"/>
      <c r="K77" s="98"/>
      <c r="L77" s="79"/>
      <c r="M77" s="93" t="s">
        <v>5</v>
      </c>
      <c r="N77" s="93"/>
      <c r="O77" s="93"/>
      <c r="P77" s="93"/>
      <c r="Q77" s="78"/>
      <c r="R77" s="97"/>
      <c r="S77" s="98"/>
      <c r="T77" s="79"/>
      <c r="U77" s="93" t="s">
        <v>5</v>
      </c>
      <c r="V77" s="93"/>
      <c r="W77" s="93"/>
      <c r="X77" s="93"/>
    </row>
    <row r="78" spans="1:24" ht="18.75" customHeight="1" x14ac:dyDescent="0.45">
      <c r="B78" s="97"/>
      <c r="C78" s="98"/>
      <c r="D78" s="75"/>
      <c r="E78" s="94" t="str">
        <f t="shared" ref="E78" si="107">$E$8</f>
        <v>TMI-7D43</v>
      </c>
      <c r="F78" s="74"/>
      <c r="G78" s="95" t="str">
        <f t="shared" ref="G78" si="108">_xlfn.CONCAT(A79,"/",$Z$4)</f>
        <v>22/24</v>
      </c>
      <c r="H78" s="96"/>
      <c r="J78" s="97"/>
      <c r="K78" s="98"/>
      <c r="L78" s="75"/>
      <c r="M78" s="94" t="str">
        <f t="shared" ref="M78" si="109">$E$8</f>
        <v>TMI-7D43</v>
      </c>
      <c r="N78" s="74"/>
      <c r="O78" s="95" t="str">
        <f t="shared" ref="O78" si="110">_xlfn.CONCAT(I79,"/",$Z$4)</f>
        <v>23/24</v>
      </c>
      <c r="P78" s="96"/>
      <c r="R78" s="97"/>
      <c r="S78" s="98"/>
      <c r="T78" s="75"/>
      <c r="U78" s="94" t="str">
        <f t="shared" ref="U78" si="111">$E$8</f>
        <v>TMI-7D43</v>
      </c>
      <c r="V78" s="74"/>
      <c r="W78" s="95" t="str">
        <f t="shared" ref="W78" si="112">_xlfn.CONCAT(Q79,"/",$Z$4)</f>
        <v>24/24</v>
      </c>
      <c r="X78" s="96"/>
    </row>
    <row r="79" spans="1:24" ht="36" customHeight="1" x14ac:dyDescent="0.45">
      <c r="A79" s="77">
        <v>22</v>
      </c>
      <c r="B79" s="97"/>
      <c r="C79" s="98"/>
      <c r="D79" s="75"/>
      <c r="E79" s="94"/>
      <c r="F79" s="74"/>
      <c r="G79" s="95"/>
      <c r="H79" s="96"/>
      <c r="I79" s="77">
        <v>23</v>
      </c>
      <c r="J79" s="97"/>
      <c r="K79" s="98"/>
      <c r="L79" s="75"/>
      <c r="M79" s="94"/>
      <c r="N79" s="74"/>
      <c r="O79" s="95"/>
      <c r="P79" s="96"/>
      <c r="Q79" s="77">
        <v>24</v>
      </c>
      <c r="R79" s="97"/>
      <c r="S79" s="98"/>
      <c r="T79" s="75"/>
      <c r="U79" s="94"/>
      <c r="V79" s="74"/>
      <c r="W79" s="95"/>
      <c r="X79" s="96"/>
    </row>
    <row r="80" spans="1:24" ht="15.75" customHeight="1" x14ac:dyDescent="0.45"/>
    <row r="81" spans="1:24" ht="15" customHeight="1" x14ac:dyDescent="0.3">
      <c r="B81" s="97" t="s">
        <v>28</v>
      </c>
      <c r="C81" s="98" t="str">
        <f t="shared" ref="C81" si="113">$C$1</f>
        <v>CBT/RACK</v>
      </c>
      <c r="D81" s="75"/>
      <c r="E81" s="89" t="str">
        <f t="shared" si="15"/>
        <v>SW TOKIO</v>
      </c>
      <c r="F81" s="89"/>
      <c r="G81" s="89"/>
      <c r="H81" s="89"/>
      <c r="J81" s="97" t="s">
        <v>28</v>
      </c>
      <c r="K81" s="98" t="str">
        <f t="shared" ref="K81" si="114">$C$1</f>
        <v>CBT/RACK</v>
      </c>
      <c r="L81" s="75"/>
      <c r="M81" s="89" t="str">
        <f t="shared" ref="M81" si="115">$E$1</f>
        <v>SW TOKIO</v>
      </c>
      <c r="N81" s="89"/>
      <c r="O81" s="89"/>
      <c r="P81" s="89"/>
      <c r="R81" s="97" t="s">
        <v>28</v>
      </c>
      <c r="S81" s="98" t="str">
        <f t="shared" ref="S81" si="116">$C$1</f>
        <v>CBT/RACK</v>
      </c>
      <c r="T81" s="75"/>
      <c r="U81" s="89" t="str">
        <f t="shared" ref="U81" si="117">$E$1</f>
        <v>SW TOKIO</v>
      </c>
      <c r="V81" s="89"/>
      <c r="W81" s="89"/>
      <c r="X81" s="89"/>
    </row>
    <row r="82" spans="1:24" ht="15.75" customHeight="1" x14ac:dyDescent="0.3">
      <c r="B82" s="97"/>
      <c r="C82" s="98"/>
      <c r="D82" s="75"/>
      <c r="E82" s="89"/>
      <c r="F82" s="89"/>
      <c r="G82" s="89"/>
      <c r="H82" s="89"/>
      <c r="J82" s="97"/>
      <c r="K82" s="98"/>
      <c r="L82" s="75"/>
      <c r="M82" s="89"/>
      <c r="N82" s="89"/>
      <c r="O82" s="89"/>
      <c r="P82" s="89"/>
      <c r="R82" s="97"/>
      <c r="S82" s="98"/>
      <c r="T82" s="75"/>
      <c r="U82" s="89"/>
      <c r="V82" s="89"/>
      <c r="W82" s="89"/>
      <c r="X82" s="89"/>
    </row>
    <row r="83" spans="1:24" s="80" customFormat="1" ht="21" customHeight="1" x14ac:dyDescent="0.3">
      <c r="A83" s="78"/>
      <c r="B83" s="97"/>
      <c r="C83" s="98"/>
      <c r="D83" s="79"/>
      <c r="E83" s="93" t="s">
        <v>2</v>
      </c>
      <c r="F83" s="93"/>
      <c r="G83" s="93"/>
      <c r="H83" s="93"/>
      <c r="I83" s="78"/>
      <c r="J83" s="97"/>
      <c r="K83" s="98"/>
      <c r="L83" s="79"/>
      <c r="M83" s="93" t="s">
        <v>2</v>
      </c>
      <c r="N83" s="93"/>
      <c r="O83" s="93"/>
      <c r="P83" s="93"/>
      <c r="Q83" s="78"/>
      <c r="R83" s="97"/>
      <c r="S83" s="98"/>
      <c r="T83" s="79"/>
      <c r="U83" s="93" t="s">
        <v>2</v>
      </c>
      <c r="V83" s="93"/>
      <c r="W83" s="93"/>
      <c r="X83" s="93"/>
    </row>
    <row r="84" spans="1:24" ht="57.75" customHeight="1" x14ac:dyDescent="0.3">
      <c r="B84" s="97"/>
      <c r="C84" s="98"/>
      <c r="D84" s="75"/>
      <c r="E84" s="91" t="str">
        <f t="shared" ref="E84" si="118">$E$4</f>
        <v>T-8255</v>
      </c>
      <c r="F84" s="91"/>
      <c r="G84" s="91"/>
      <c r="H84" s="91"/>
      <c r="J84" s="97"/>
      <c r="K84" s="98"/>
      <c r="L84" s="75"/>
      <c r="M84" s="91" t="str">
        <f t="shared" ref="M84" si="119">$E$4</f>
        <v>T-8255</v>
      </c>
      <c r="N84" s="91"/>
      <c r="O84" s="91"/>
      <c r="P84" s="91"/>
      <c r="R84" s="97"/>
      <c r="S84" s="98"/>
      <c r="T84" s="75"/>
      <c r="U84" s="91" t="str">
        <f t="shared" ref="U84" si="120">$E$4</f>
        <v>T-8255</v>
      </c>
      <c r="V84" s="91"/>
      <c r="W84" s="91"/>
      <c r="X84" s="91"/>
    </row>
    <row r="85" spans="1:24" s="80" customFormat="1" ht="21" customHeight="1" x14ac:dyDescent="0.3">
      <c r="A85" s="78"/>
      <c r="B85" s="97"/>
      <c r="C85" s="98"/>
      <c r="D85" s="79"/>
      <c r="E85" s="93" t="s">
        <v>132</v>
      </c>
      <c r="F85" s="93"/>
      <c r="G85" s="93"/>
      <c r="H85" s="93"/>
      <c r="I85" s="78"/>
      <c r="J85" s="97"/>
      <c r="K85" s="98"/>
      <c r="L85" s="79"/>
      <c r="M85" s="93" t="s">
        <v>132</v>
      </c>
      <c r="N85" s="93"/>
      <c r="O85" s="93"/>
      <c r="P85" s="93"/>
      <c r="Q85" s="78"/>
      <c r="R85" s="97"/>
      <c r="S85" s="98"/>
      <c r="T85" s="79"/>
      <c r="U85" s="93" t="s">
        <v>132</v>
      </c>
      <c r="V85" s="93"/>
      <c r="W85" s="93"/>
      <c r="X85" s="93"/>
    </row>
    <row r="86" spans="1:24" ht="57.75" customHeight="1" x14ac:dyDescent="0.3">
      <c r="B86" s="97"/>
      <c r="C86" s="98"/>
      <c r="D86" s="75"/>
      <c r="E86" s="92">
        <f t="shared" ref="E86" si="121">$E$6</f>
        <v>1286</v>
      </c>
      <c r="F86" s="92"/>
      <c r="G86" s="92"/>
      <c r="H86" s="92"/>
      <c r="J86" s="97"/>
      <c r="K86" s="98"/>
      <c r="L86" s="75"/>
      <c r="M86" s="92">
        <f t="shared" ref="M86" si="122">$E$6</f>
        <v>1286</v>
      </c>
      <c r="N86" s="92"/>
      <c r="O86" s="92"/>
      <c r="P86" s="92"/>
      <c r="R86" s="97"/>
      <c r="S86" s="98"/>
      <c r="T86" s="75"/>
      <c r="U86" s="92">
        <f t="shared" ref="U86" si="123">$E$6</f>
        <v>1286</v>
      </c>
      <c r="V86" s="92"/>
      <c r="W86" s="92"/>
      <c r="X86" s="92"/>
    </row>
    <row r="87" spans="1:24" s="80" customFormat="1" ht="21" customHeight="1" x14ac:dyDescent="0.3">
      <c r="A87" s="78"/>
      <c r="B87" s="97"/>
      <c r="C87" s="98"/>
      <c r="D87" s="79"/>
      <c r="E87" s="93" t="s">
        <v>5</v>
      </c>
      <c r="F87" s="93"/>
      <c r="G87" s="93"/>
      <c r="H87" s="93"/>
      <c r="I87" s="78"/>
      <c r="J87" s="97"/>
      <c r="K87" s="98"/>
      <c r="L87" s="79"/>
      <c r="M87" s="93" t="s">
        <v>5</v>
      </c>
      <c r="N87" s="93"/>
      <c r="O87" s="93"/>
      <c r="P87" s="93"/>
      <c r="Q87" s="78"/>
      <c r="R87" s="97"/>
      <c r="S87" s="98"/>
      <c r="T87" s="79"/>
      <c r="U87" s="93" t="s">
        <v>5</v>
      </c>
      <c r="V87" s="93"/>
      <c r="W87" s="93"/>
      <c r="X87" s="93"/>
    </row>
    <row r="88" spans="1:24" ht="18.75" customHeight="1" x14ac:dyDescent="0.45">
      <c r="B88" s="97"/>
      <c r="C88" s="98"/>
      <c r="D88" s="75"/>
      <c r="E88" s="94" t="str">
        <f t="shared" ref="E88" si="124">$E$8</f>
        <v>TMI-7D43</v>
      </c>
      <c r="F88" s="74"/>
      <c r="G88" s="95" t="str">
        <f t="shared" ref="G88" si="125">_xlfn.CONCAT(A89,"/",$Z$4)</f>
        <v>25/24</v>
      </c>
      <c r="H88" s="96"/>
      <c r="J88" s="97"/>
      <c r="K88" s="98"/>
      <c r="L88" s="75"/>
      <c r="M88" s="94" t="str">
        <f t="shared" ref="M88" si="126">$E$8</f>
        <v>TMI-7D43</v>
      </c>
      <c r="N88" s="74"/>
      <c r="O88" s="95" t="str">
        <f t="shared" ref="O88" si="127">_xlfn.CONCAT(I89,"/",$Z$4)</f>
        <v>26/24</v>
      </c>
      <c r="P88" s="96"/>
      <c r="R88" s="97"/>
      <c r="S88" s="98"/>
      <c r="T88" s="75"/>
      <c r="U88" s="94" t="str">
        <f t="shared" ref="U88" si="128">$E$8</f>
        <v>TMI-7D43</v>
      </c>
      <c r="V88" s="74"/>
      <c r="W88" s="95" t="str">
        <f t="shared" ref="W88" si="129">_xlfn.CONCAT(Q89,"/",$Z$4)</f>
        <v>27/24</v>
      </c>
      <c r="X88" s="96"/>
    </row>
    <row r="89" spans="1:24" ht="36" customHeight="1" x14ac:dyDescent="0.45">
      <c r="A89" s="77">
        <v>25</v>
      </c>
      <c r="B89" s="97"/>
      <c r="C89" s="98"/>
      <c r="D89" s="75"/>
      <c r="E89" s="94"/>
      <c r="F89" s="74"/>
      <c r="G89" s="95"/>
      <c r="H89" s="96"/>
      <c r="I89" s="77">
        <v>26</v>
      </c>
      <c r="J89" s="97"/>
      <c r="K89" s="98"/>
      <c r="L89" s="75"/>
      <c r="M89" s="94"/>
      <c r="N89" s="74"/>
      <c r="O89" s="95"/>
      <c r="P89" s="96"/>
      <c r="Q89" s="77">
        <v>27</v>
      </c>
      <c r="R89" s="97"/>
      <c r="S89" s="98"/>
      <c r="T89" s="75"/>
      <c r="U89" s="94"/>
      <c r="V89" s="74"/>
      <c r="W89" s="95"/>
      <c r="X89" s="96"/>
    </row>
    <row r="90" spans="1:24" ht="15.75" customHeight="1" x14ac:dyDescent="0.45"/>
    <row r="91" spans="1:24" ht="15" customHeight="1" x14ac:dyDescent="0.3">
      <c r="B91" s="97" t="s">
        <v>28</v>
      </c>
      <c r="C91" s="98" t="str">
        <f t="shared" ref="C91" si="130">$C$1</f>
        <v>CBT/RACK</v>
      </c>
      <c r="D91" s="75"/>
      <c r="E91" s="89" t="str">
        <f t="shared" ref="E91:E151" si="131">$E$1</f>
        <v>SW TOKIO</v>
      </c>
      <c r="F91" s="89"/>
      <c r="G91" s="89"/>
      <c r="H91" s="89"/>
      <c r="J91" s="97" t="s">
        <v>28</v>
      </c>
      <c r="K91" s="98" t="str">
        <f t="shared" ref="K91" si="132">$C$1</f>
        <v>CBT/RACK</v>
      </c>
      <c r="L91" s="75"/>
      <c r="M91" s="89" t="str">
        <f t="shared" ref="M91" si="133">$E$1</f>
        <v>SW TOKIO</v>
      </c>
      <c r="N91" s="89"/>
      <c r="O91" s="89"/>
      <c r="P91" s="89"/>
      <c r="R91" s="97" t="s">
        <v>28</v>
      </c>
      <c r="S91" s="98" t="str">
        <f t="shared" ref="S91" si="134">$C$1</f>
        <v>CBT/RACK</v>
      </c>
      <c r="T91" s="75"/>
      <c r="U91" s="89" t="str">
        <f t="shared" ref="U91" si="135">$E$1</f>
        <v>SW TOKIO</v>
      </c>
      <c r="V91" s="89"/>
      <c r="W91" s="89"/>
      <c r="X91" s="89"/>
    </row>
    <row r="92" spans="1:24" ht="15.75" customHeight="1" x14ac:dyDescent="0.3">
      <c r="B92" s="97"/>
      <c r="C92" s="98"/>
      <c r="D92" s="75"/>
      <c r="E92" s="89"/>
      <c r="F92" s="89"/>
      <c r="G92" s="89"/>
      <c r="H92" s="89"/>
      <c r="J92" s="97"/>
      <c r="K92" s="98"/>
      <c r="L92" s="75"/>
      <c r="M92" s="89"/>
      <c r="N92" s="89"/>
      <c r="O92" s="89"/>
      <c r="P92" s="89"/>
      <c r="R92" s="97"/>
      <c r="S92" s="98"/>
      <c r="T92" s="75"/>
      <c r="U92" s="89"/>
      <c r="V92" s="89"/>
      <c r="W92" s="89"/>
      <c r="X92" s="89"/>
    </row>
    <row r="93" spans="1:24" s="80" customFormat="1" ht="21" customHeight="1" x14ac:dyDescent="0.3">
      <c r="A93" s="78"/>
      <c r="B93" s="97"/>
      <c r="C93" s="98"/>
      <c r="D93" s="79"/>
      <c r="E93" s="93" t="s">
        <v>2</v>
      </c>
      <c r="F93" s="93"/>
      <c r="G93" s="93"/>
      <c r="H93" s="93"/>
      <c r="I93" s="78"/>
      <c r="J93" s="97"/>
      <c r="K93" s="98"/>
      <c r="L93" s="79"/>
      <c r="M93" s="93" t="s">
        <v>2</v>
      </c>
      <c r="N93" s="93"/>
      <c r="O93" s="93"/>
      <c r="P93" s="93"/>
      <c r="Q93" s="78"/>
      <c r="R93" s="97"/>
      <c r="S93" s="98"/>
      <c r="T93" s="79"/>
      <c r="U93" s="93" t="s">
        <v>2</v>
      </c>
      <c r="V93" s="93"/>
      <c r="W93" s="93"/>
      <c r="X93" s="93"/>
    </row>
    <row r="94" spans="1:24" ht="57.75" customHeight="1" x14ac:dyDescent="0.3">
      <c r="B94" s="97"/>
      <c r="C94" s="98"/>
      <c r="D94" s="75"/>
      <c r="E94" s="91" t="str">
        <f t="shared" ref="E94" si="136">$E$4</f>
        <v>T-8255</v>
      </c>
      <c r="F94" s="91"/>
      <c r="G94" s="91"/>
      <c r="H94" s="91"/>
      <c r="J94" s="97"/>
      <c r="K94" s="98"/>
      <c r="L94" s="75"/>
      <c r="M94" s="91" t="str">
        <f t="shared" ref="M94" si="137">$E$4</f>
        <v>T-8255</v>
      </c>
      <c r="N94" s="91"/>
      <c r="O94" s="91"/>
      <c r="P94" s="91"/>
      <c r="R94" s="97"/>
      <c r="S94" s="98"/>
      <c r="T94" s="75"/>
      <c r="U94" s="91" t="str">
        <f t="shared" ref="U94" si="138">$E$4</f>
        <v>T-8255</v>
      </c>
      <c r="V94" s="91"/>
      <c r="W94" s="91"/>
      <c r="X94" s="91"/>
    </row>
    <row r="95" spans="1:24" s="80" customFormat="1" ht="21" customHeight="1" x14ac:dyDescent="0.3">
      <c r="A95" s="78"/>
      <c r="B95" s="97"/>
      <c r="C95" s="98"/>
      <c r="D95" s="79"/>
      <c r="E95" s="93" t="s">
        <v>132</v>
      </c>
      <c r="F95" s="93"/>
      <c r="G95" s="93"/>
      <c r="H95" s="93"/>
      <c r="I95" s="78"/>
      <c r="J95" s="97"/>
      <c r="K95" s="98"/>
      <c r="L95" s="79"/>
      <c r="M95" s="93" t="s">
        <v>132</v>
      </c>
      <c r="N95" s="93"/>
      <c r="O95" s="93"/>
      <c r="P95" s="93"/>
      <c r="Q95" s="78"/>
      <c r="R95" s="97"/>
      <c r="S95" s="98"/>
      <c r="T95" s="79"/>
      <c r="U95" s="93" t="s">
        <v>132</v>
      </c>
      <c r="V95" s="93"/>
      <c r="W95" s="93"/>
      <c r="X95" s="93"/>
    </row>
    <row r="96" spans="1:24" ht="57.75" customHeight="1" x14ac:dyDescent="0.3">
      <c r="B96" s="97"/>
      <c r="C96" s="98"/>
      <c r="D96" s="75"/>
      <c r="E96" s="92">
        <f t="shared" ref="E96" si="139">$E$6</f>
        <v>1286</v>
      </c>
      <c r="F96" s="92"/>
      <c r="G96" s="92"/>
      <c r="H96" s="92"/>
      <c r="J96" s="97"/>
      <c r="K96" s="98"/>
      <c r="L96" s="75"/>
      <c r="M96" s="92">
        <f t="shared" ref="M96" si="140">$E$6</f>
        <v>1286</v>
      </c>
      <c r="N96" s="92"/>
      <c r="O96" s="92"/>
      <c r="P96" s="92"/>
      <c r="R96" s="97"/>
      <c r="S96" s="98"/>
      <c r="T96" s="75"/>
      <c r="U96" s="92">
        <f t="shared" ref="U96" si="141">$E$6</f>
        <v>1286</v>
      </c>
      <c r="V96" s="92"/>
      <c r="W96" s="92"/>
      <c r="X96" s="92"/>
    </row>
    <row r="97" spans="1:24" s="80" customFormat="1" ht="21" customHeight="1" x14ac:dyDescent="0.3">
      <c r="A97" s="78"/>
      <c r="B97" s="97"/>
      <c r="C97" s="98"/>
      <c r="D97" s="79"/>
      <c r="E97" s="93" t="s">
        <v>5</v>
      </c>
      <c r="F97" s="93"/>
      <c r="G97" s="93"/>
      <c r="H97" s="93"/>
      <c r="I97" s="78"/>
      <c r="J97" s="97"/>
      <c r="K97" s="98"/>
      <c r="L97" s="79"/>
      <c r="M97" s="93" t="s">
        <v>5</v>
      </c>
      <c r="N97" s="93"/>
      <c r="O97" s="93"/>
      <c r="P97" s="93"/>
      <c r="Q97" s="78"/>
      <c r="R97" s="97"/>
      <c r="S97" s="98"/>
      <c r="T97" s="79"/>
      <c r="U97" s="93" t="s">
        <v>5</v>
      </c>
      <c r="V97" s="93"/>
      <c r="W97" s="93"/>
      <c r="X97" s="93"/>
    </row>
    <row r="98" spans="1:24" ht="18.75" customHeight="1" x14ac:dyDescent="0.45">
      <c r="B98" s="97"/>
      <c r="C98" s="98"/>
      <c r="D98" s="75"/>
      <c r="E98" s="94" t="str">
        <f t="shared" ref="E98" si="142">$E$8</f>
        <v>TMI-7D43</v>
      </c>
      <c r="F98" s="74"/>
      <c r="G98" s="95" t="str">
        <f t="shared" ref="G98" si="143">_xlfn.CONCAT(A99,"/",$Z$4)</f>
        <v>28/24</v>
      </c>
      <c r="H98" s="96"/>
      <c r="J98" s="97"/>
      <c r="K98" s="98"/>
      <c r="L98" s="75"/>
      <c r="M98" s="94" t="str">
        <f t="shared" ref="M98" si="144">$E$8</f>
        <v>TMI-7D43</v>
      </c>
      <c r="N98" s="74"/>
      <c r="O98" s="95" t="str">
        <f t="shared" ref="O98" si="145">_xlfn.CONCAT(I99,"/",$Z$4)</f>
        <v>29/24</v>
      </c>
      <c r="P98" s="96"/>
      <c r="R98" s="97"/>
      <c r="S98" s="98"/>
      <c r="T98" s="75"/>
      <c r="U98" s="94" t="str">
        <f t="shared" ref="U98" si="146">$E$8</f>
        <v>TMI-7D43</v>
      </c>
      <c r="V98" s="74"/>
      <c r="W98" s="95" t="str">
        <f t="shared" ref="W98" si="147">_xlfn.CONCAT(Q99,"/",$Z$4)</f>
        <v>30/24</v>
      </c>
      <c r="X98" s="96"/>
    </row>
    <row r="99" spans="1:24" ht="36" customHeight="1" x14ac:dyDescent="0.45">
      <c r="A99" s="77">
        <v>28</v>
      </c>
      <c r="B99" s="97"/>
      <c r="C99" s="98"/>
      <c r="D99" s="75"/>
      <c r="E99" s="94"/>
      <c r="F99" s="74"/>
      <c r="G99" s="95"/>
      <c r="H99" s="96"/>
      <c r="I99" s="77">
        <v>29</v>
      </c>
      <c r="J99" s="97"/>
      <c r="K99" s="98"/>
      <c r="L99" s="75"/>
      <c r="M99" s="94"/>
      <c r="N99" s="74"/>
      <c r="O99" s="95"/>
      <c r="P99" s="96"/>
      <c r="Q99" s="77">
        <v>30</v>
      </c>
      <c r="R99" s="97"/>
      <c r="S99" s="98"/>
      <c r="T99" s="75"/>
      <c r="U99" s="94"/>
      <c r="V99" s="74"/>
      <c r="W99" s="95"/>
      <c r="X99" s="96"/>
    </row>
    <row r="100" spans="1:24" ht="15.75" customHeight="1" x14ac:dyDescent="0.45"/>
    <row r="101" spans="1:24" ht="15" customHeight="1" x14ac:dyDescent="0.3">
      <c r="B101" s="97" t="s">
        <v>28</v>
      </c>
      <c r="C101" s="98" t="str">
        <f t="shared" ref="C101" si="148">$C$1</f>
        <v>CBT/RACK</v>
      </c>
      <c r="D101" s="75"/>
      <c r="E101" s="89" t="str">
        <f t="shared" si="131"/>
        <v>SW TOKIO</v>
      </c>
      <c r="F101" s="89"/>
      <c r="G101" s="89"/>
      <c r="H101" s="89"/>
      <c r="J101" s="97" t="s">
        <v>28</v>
      </c>
      <c r="K101" s="98" t="str">
        <f t="shared" ref="K101" si="149">$C$1</f>
        <v>CBT/RACK</v>
      </c>
      <c r="L101" s="75"/>
      <c r="M101" s="89" t="str">
        <f t="shared" ref="M101" si="150">$E$1</f>
        <v>SW TOKIO</v>
      </c>
      <c r="N101" s="89"/>
      <c r="O101" s="89"/>
      <c r="P101" s="89"/>
      <c r="R101" s="97" t="s">
        <v>28</v>
      </c>
      <c r="S101" s="98" t="str">
        <f t="shared" ref="S101" si="151">$C$1</f>
        <v>CBT/RACK</v>
      </c>
      <c r="T101" s="75"/>
      <c r="U101" s="89" t="str">
        <f t="shared" ref="U101" si="152">$E$1</f>
        <v>SW TOKIO</v>
      </c>
      <c r="V101" s="89"/>
      <c r="W101" s="89"/>
      <c r="X101" s="89"/>
    </row>
    <row r="102" spans="1:24" ht="15.75" customHeight="1" x14ac:dyDescent="0.3">
      <c r="B102" s="97"/>
      <c r="C102" s="98"/>
      <c r="D102" s="75"/>
      <c r="E102" s="89"/>
      <c r="F102" s="89"/>
      <c r="G102" s="89"/>
      <c r="H102" s="89"/>
      <c r="J102" s="97"/>
      <c r="K102" s="98"/>
      <c r="L102" s="75"/>
      <c r="M102" s="89"/>
      <c r="N102" s="89"/>
      <c r="O102" s="89"/>
      <c r="P102" s="89"/>
      <c r="R102" s="97"/>
      <c r="S102" s="98"/>
      <c r="T102" s="75"/>
      <c r="U102" s="89"/>
      <c r="V102" s="89"/>
      <c r="W102" s="89"/>
      <c r="X102" s="89"/>
    </row>
    <row r="103" spans="1:24" s="80" customFormat="1" ht="21" customHeight="1" x14ac:dyDescent="0.3">
      <c r="A103" s="78"/>
      <c r="B103" s="97"/>
      <c r="C103" s="98"/>
      <c r="D103" s="79"/>
      <c r="E103" s="93" t="s">
        <v>2</v>
      </c>
      <c r="F103" s="93"/>
      <c r="G103" s="93"/>
      <c r="H103" s="93"/>
      <c r="I103" s="78"/>
      <c r="J103" s="97"/>
      <c r="K103" s="98"/>
      <c r="L103" s="79"/>
      <c r="M103" s="93" t="s">
        <v>2</v>
      </c>
      <c r="N103" s="93"/>
      <c r="O103" s="93"/>
      <c r="P103" s="93"/>
      <c r="Q103" s="78"/>
      <c r="R103" s="97"/>
      <c r="S103" s="98"/>
      <c r="T103" s="79"/>
      <c r="U103" s="93" t="s">
        <v>2</v>
      </c>
      <c r="V103" s="93"/>
      <c r="W103" s="93"/>
      <c r="X103" s="93"/>
    </row>
    <row r="104" spans="1:24" ht="57.75" customHeight="1" x14ac:dyDescent="0.3">
      <c r="B104" s="97"/>
      <c r="C104" s="98"/>
      <c r="D104" s="75"/>
      <c r="E104" s="91" t="str">
        <f t="shared" ref="E104" si="153">$E$4</f>
        <v>T-8255</v>
      </c>
      <c r="F104" s="91"/>
      <c r="G104" s="91"/>
      <c r="H104" s="91"/>
      <c r="J104" s="97"/>
      <c r="K104" s="98"/>
      <c r="L104" s="75"/>
      <c r="M104" s="91" t="str">
        <f t="shared" ref="M104" si="154">$E$4</f>
        <v>T-8255</v>
      </c>
      <c r="N104" s="91"/>
      <c r="O104" s="91"/>
      <c r="P104" s="91"/>
      <c r="R104" s="97"/>
      <c r="S104" s="98"/>
      <c r="T104" s="75"/>
      <c r="U104" s="91" t="str">
        <f t="shared" ref="U104" si="155">$E$4</f>
        <v>T-8255</v>
      </c>
      <c r="V104" s="91"/>
      <c r="W104" s="91"/>
      <c r="X104" s="91"/>
    </row>
    <row r="105" spans="1:24" s="80" customFormat="1" ht="21" customHeight="1" x14ac:dyDescent="0.3">
      <c r="A105" s="78"/>
      <c r="B105" s="97"/>
      <c r="C105" s="98"/>
      <c r="D105" s="79"/>
      <c r="E105" s="93" t="s">
        <v>132</v>
      </c>
      <c r="F105" s="93"/>
      <c r="G105" s="93"/>
      <c r="H105" s="93"/>
      <c r="I105" s="78"/>
      <c r="J105" s="97"/>
      <c r="K105" s="98"/>
      <c r="L105" s="79"/>
      <c r="M105" s="93" t="s">
        <v>132</v>
      </c>
      <c r="N105" s="93"/>
      <c r="O105" s="93"/>
      <c r="P105" s="93"/>
      <c r="Q105" s="78"/>
      <c r="R105" s="97"/>
      <c r="S105" s="98"/>
      <c r="T105" s="79"/>
      <c r="U105" s="93" t="s">
        <v>132</v>
      </c>
      <c r="V105" s="93"/>
      <c r="W105" s="93"/>
      <c r="X105" s="93"/>
    </row>
    <row r="106" spans="1:24" ht="57.75" customHeight="1" x14ac:dyDescent="0.3">
      <c r="B106" s="97"/>
      <c r="C106" s="98"/>
      <c r="D106" s="75"/>
      <c r="E106" s="92">
        <f t="shared" ref="E106" si="156">$E$6</f>
        <v>1286</v>
      </c>
      <c r="F106" s="92"/>
      <c r="G106" s="92"/>
      <c r="H106" s="92"/>
      <c r="J106" s="97"/>
      <c r="K106" s="98"/>
      <c r="L106" s="75"/>
      <c r="M106" s="92">
        <f t="shared" ref="M106" si="157">$E$6</f>
        <v>1286</v>
      </c>
      <c r="N106" s="92"/>
      <c r="O106" s="92"/>
      <c r="P106" s="92"/>
      <c r="R106" s="97"/>
      <c r="S106" s="98"/>
      <c r="T106" s="75"/>
      <c r="U106" s="92">
        <f t="shared" ref="U106" si="158">$E$6</f>
        <v>1286</v>
      </c>
      <c r="V106" s="92"/>
      <c r="W106" s="92"/>
      <c r="X106" s="92"/>
    </row>
    <row r="107" spans="1:24" s="80" customFormat="1" ht="21" customHeight="1" x14ac:dyDescent="0.3">
      <c r="A107" s="78"/>
      <c r="B107" s="97"/>
      <c r="C107" s="98"/>
      <c r="D107" s="79"/>
      <c r="E107" s="93" t="s">
        <v>5</v>
      </c>
      <c r="F107" s="93"/>
      <c r="G107" s="93"/>
      <c r="H107" s="93"/>
      <c r="I107" s="78"/>
      <c r="J107" s="97"/>
      <c r="K107" s="98"/>
      <c r="L107" s="79"/>
      <c r="M107" s="93" t="s">
        <v>5</v>
      </c>
      <c r="N107" s="93"/>
      <c r="O107" s="93"/>
      <c r="P107" s="93"/>
      <c r="Q107" s="78"/>
      <c r="R107" s="97"/>
      <c r="S107" s="98"/>
      <c r="T107" s="79"/>
      <c r="U107" s="93" t="s">
        <v>5</v>
      </c>
      <c r="V107" s="93"/>
      <c r="W107" s="93"/>
      <c r="X107" s="93"/>
    </row>
    <row r="108" spans="1:24" ht="18.75" customHeight="1" x14ac:dyDescent="0.45">
      <c r="B108" s="97"/>
      <c r="C108" s="98"/>
      <c r="D108" s="75"/>
      <c r="E108" s="94" t="str">
        <f t="shared" ref="E108" si="159">$E$8</f>
        <v>TMI-7D43</v>
      </c>
      <c r="F108" s="74"/>
      <c r="G108" s="95" t="str">
        <f t="shared" ref="G108" si="160">_xlfn.CONCAT(A109,"/",$Z$4)</f>
        <v>31/24</v>
      </c>
      <c r="H108" s="96"/>
      <c r="J108" s="97"/>
      <c r="K108" s="98"/>
      <c r="L108" s="75"/>
      <c r="M108" s="94" t="str">
        <f t="shared" ref="M108" si="161">$E$8</f>
        <v>TMI-7D43</v>
      </c>
      <c r="N108" s="74"/>
      <c r="O108" s="95" t="str">
        <f t="shared" ref="O108" si="162">_xlfn.CONCAT(I109,"/",$Z$4)</f>
        <v>32/24</v>
      </c>
      <c r="P108" s="96"/>
      <c r="R108" s="97"/>
      <c r="S108" s="98"/>
      <c r="T108" s="75"/>
      <c r="U108" s="94" t="str">
        <f t="shared" ref="U108" si="163">$E$8</f>
        <v>TMI-7D43</v>
      </c>
      <c r="V108" s="74"/>
      <c r="W108" s="95" t="str">
        <f t="shared" ref="W108" si="164">_xlfn.CONCAT(Q109,"/",$Z$4)</f>
        <v>33/24</v>
      </c>
      <c r="X108" s="96"/>
    </row>
    <row r="109" spans="1:24" ht="36" customHeight="1" x14ac:dyDescent="0.45">
      <c r="A109" s="77">
        <v>31</v>
      </c>
      <c r="B109" s="97"/>
      <c r="C109" s="98"/>
      <c r="D109" s="75"/>
      <c r="E109" s="94"/>
      <c r="F109" s="74"/>
      <c r="G109" s="95"/>
      <c r="H109" s="96"/>
      <c r="I109" s="77">
        <v>32</v>
      </c>
      <c r="J109" s="97"/>
      <c r="K109" s="98"/>
      <c r="L109" s="75"/>
      <c r="M109" s="94"/>
      <c r="N109" s="74"/>
      <c r="O109" s="95"/>
      <c r="P109" s="96"/>
      <c r="Q109" s="77">
        <v>33</v>
      </c>
      <c r="R109" s="97"/>
      <c r="S109" s="98"/>
      <c r="T109" s="75"/>
      <c r="U109" s="94"/>
      <c r="V109" s="74"/>
      <c r="W109" s="95"/>
      <c r="X109" s="96"/>
    </row>
    <row r="110" spans="1:24" ht="15.75" customHeight="1" x14ac:dyDescent="0.45"/>
    <row r="111" spans="1:24" ht="15" customHeight="1" x14ac:dyDescent="0.3">
      <c r="B111" s="97" t="s">
        <v>28</v>
      </c>
      <c r="C111" s="98" t="str">
        <f t="shared" ref="C111" si="165">$C$1</f>
        <v>CBT/RACK</v>
      </c>
      <c r="D111" s="75"/>
      <c r="E111" s="89" t="str">
        <f t="shared" si="131"/>
        <v>SW TOKIO</v>
      </c>
      <c r="F111" s="89"/>
      <c r="G111" s="89"/>
      <c r="H111" s="89"/>
      <c r="J111" s="97" t="s">
        <v>28</v>
      </c>
      <c r="K111" s="98" t="str">
        <f t="shared" ref="K111" si="166">$C$1</f>
        <v>CBT/RACK</v>
      </c>
      <c r="L111" s="75"/>
      <c r="M111" s="89" t="str">
        <f t="shared" ref="M111" si="167">$E$1</f>
        <v>SW TOKIO</v>
      </c>
      <c r="N111" s="89"/>
      <c r="O111" s="89"/>
      <c r="P111" s="89"/>
      <c r="R111" s="97" t="s">
        <v>28</v>
      </c>
      <c r="S111" s="98" t="str">
        <f t="shared" ref="S111" si="168">$C$1</f>
        <v>CBT/RACK</v>
      </c>
      <c r="T111" s="75"/>
      <c r="U111" s="89" t="str">
        <f t="shared" ref="U111" si="169">$E$1</f>
        <v>SW TOKIO</v>
      </c>
      <c r="V111" s="89"/>
      <c r="W111" s="89"/>
      <c r="X111" s="89"/>
    </row>
    <row r="112" spans="1:24" ht="15.75" customHeight="1" x14ac:dyDescent="0.3">
      <c r="B112" s="97"/>
      <c r="C112" s="98"/>
      <c r="D112" s="75"/>
      <c r="E112" s="89"/>
      <c r="F112" s="89"/>
      <c r="G112" s="89"/>
      <c r="H112" s="89"/>
      <c r="J112" s="97"/>
      <c r="K112" s="98"/>
      <c r="L112" s="75"/>
      <c r="M112" s="89"/>
      <c r="N112" s="89"/>
      <c r="O112" s="89"/>
      <c r="P112" s="89"/>
      <c r="R112" s="97"/>
      <c r="S112" s="98"/>
      <c r="T112" s="75"/>
      <c r="U112" s="89"/>
      <c r="V112" s="89"/>
      <c r="W112" s="89"/>
      <c r="X112" s="89"/>
    </row>
    <row r="113" spans="1:24" s="80" customFormat="1" ht="21" customHeight="1" x14ac:dyDescent="0.3">
      <c r="A113" s="78"/>
      <c r="B113" s="97"/>
      <c r="C113" s="98"/>
      <c r="D113" s="79"/>
      <c r="E113" s="93" t="s">
        <v>2</v>
      </c>
      <c r="F113" s="93"/>
      <c r="G113" s="93"/>
      <c r="H113" s="93"/>
      <c r="I113" s="78"/>
      <c r="J113" s="97"/>
      <c r="K113" s="98"/>
      <c r="L113" s="79"/>
      <c r="M113" s="93" t="s">
        <v>2</v>
      </c>
      <c r="N113" s="93"/>
      <c r="O113" s="93"/>
      <c r="P113" s="93"/>
      <c r="Q113" s="78"/>
      <c r="R113" s="97"/>
      <c r="S113" s="98"/>
      <c r="T113" s="79"/>
      <c r="U113" s="93" t="s">
        <v>2</v>
      </c>
      <c r="V113" s="93"/>
      <c r="W113" s="93"/>
      <c r="X113" s="93"/>
    </row>
    <row r="114" spans="1:24" ht="57.75" customHeight="1" x14ac:dyDescent="0.3">
      <c r="B114" s="97"/>
      <c r="C114" s="98"/>
      <c r="D114" s="75"/>
      <c r="E114" s="91" t="str">
        <f t="shared" ref="E114" si="170">$E$4</f>
        <v>T-8255</v>
      </c>
      <c r="F114" s="91"/>
      <c r="G114" s="91"/>
      <c r="H114" s="91"/>
      <c r="J114" s="97"/>
      <c r="K114" s="98"/>
      <c r="L114" s="75"/>
      <c r="M114" s="91" t="str">
        <f t="shared" ref="M114" si="171">$E$4</f>
        <v>T-8255</v>
      </c>
      <c r="N114" s="91"/>
      <c r="O114" s="91"/>
      <c r="P114" s="91"/>
      <c r="R114" s="97"/>
      <c r="S114" s="98"/>
      <c r="T114" s="75"/>
      <c r="U114" s="91" t="str">
        <f t="shared" ref="U114" si="172">$E$4</f>
        <v>T-8255</v>
      </c>
      <c r="V114" s="91"/>
      <c r="W114" s="91"/>
      <c r="X114" s="91"/>
    </row>
    <row r="115" spans="1:24" s="80" customFormat="1" ht="21" customHeight="1" x14ac:dyDescent="0.3">
      <c r="A115" s="78"/>
      <c r="B115" s="97"/>
      <c r="C115" s="98"/>
      <c r="D115" s="79"/>
      <c r="E115" s="93" t="s">
        <v>132</v>
      </c>
      <c r="F115" s="93"/>
      <c r="G115" s="93"/>
      <c r="H115" s="93"/>
      <c r="I115" s="78"/>
      <c r="J115" s="97"/>
      <c r="K115" s="98"/>
      <c r="L115" s="79"/>
      <c r="M115" s="93" t="s">
        <v>132</v>
      </c>
      <c r="N115" s="93"/>
      <c r="O115" s="93"/>
      <c r="P115" s="93"/>
      <c r="Q115" s="78"/>
      <c r="R115" s="97"/>
      <c r="S115" s="98"/>
      <c r="T115" s="79"/>
      <c r="U115" s="93" t="s">
        <v>132</v>
      </c>
      <c r="V115" s="93"/>
      <c r="W115" s="93"/>
      <c r="X115" s="93"/>
    </row>
    <row r="116" spans="1:24" ht="57.75" customHeight="1" x14ac:dyDescent="0.3">
      <c r="B116" s="97"/>
      <c r="C116" s="98"/>
      <c r="D116" s="75"/>
      <c r="E116" s="92">
        <f t="shared" ref="E116" si="173">$E$6</f>
        <v>1286</v>
      </c>
      <c r="F116" s="92"/>
      <c r="G116" s="92"/>
      <c r="H116" s="92"/>
      <c r="J116" s="97"/>
      <c r="K116" s="98"/>
      <c r="L116" s="75"/>
      <c r="M116" s="92">
        <f t="shared" ref="M116" si="174">$E$6</f>
        <v>1286</v>
      </c>
      <c r="N116" s="92"/>
      <c r="O116" s="92"/>
      <c r="P116" s="92"/>
      <c r="R116" s="97"/>
      <c r="S116" s="98"/>
      <c r="T116" s="75"/>
      <c r="U116" s="92">
        <f t="shared" ref="U116" si="175">$E$6</f>
        <v>1286</v>
      </c>
      <c r="V116" s="92"/>
      <c r="W116" s="92"/>
      <c r="X116" s="92"/>
    </row>
    <row r="117" spans="1:24" s="80" customFormat="1" ht="21" customHeight="1" x14ac:dyDescent="0.3">
      <c r="A117" s="78"/>
      <c r="B117" s="97"/>
      <c r="C117" s="98"/>
      <c r="D117" s="79"/>
      <c r="E117" s="93" t="s">
        <v>5</v>
      </c>
      <c r="F117" s="93"/>
      <c r="G117" s="93"/>
      <c r="H117" s="93"/>
      <c r="I117" s="78"/>
      <c r="J117" s="97"/>
      <c r="K117" s="98"/>
      <c r="L117" s="79"/>
      <c r="M117" s="93" t="s">
        <v>5</v>
      </c>
      <c r="N117" s="93"/>
      <c r="O117" s="93"/>
      <c r="P117" s="93"/>
      <c r="Q117" s="78"/>
      <c r="R117" s="97"/>
      <c r="S117" s="98"/>
      <c r="T117" s="79"/>
      <c r="U117" s="93" t="s">
        <v>5</v>
      </c>
      <c r="V117" s="93"/>
      <c r="W117" s="93"/>
      <c r="X117" s="93"/>
    </row>
    <row r="118" spans="1:24" ht="18.75" customHeight="1" x14ac:dyDescent="0.45">
      <c r="B118" s="97"/>
      <c r="C118" s="98"/>
      <c r="D118" s="75"/>
      <c r="E118" s="94" t="str">
        <f t="shared" ref="E118" si="176">$E$8</f>
        <v>TMI-7D43</v>
      </c>
      <c r="F118" s="74"/>
      <c r="G118" s="95" t="str">
        <f t="shared" ref="G118" si="177">_xlfn.CONCAT(A119,"/",$Z$4)</f>
        <v>34/24</v>
      </c>
      <c r="H118" s="96"/>
      <c r="J118" s="97"/>
      <c r="K118" s="98"/>
      <c r="L118" s="75"/>
      <c r="M118" s="94" t="str">
        <f t="shared" ref="M118" si="178">$E$8</f>
        <v>TMI-7D43</v>
      </c>
      <c r="N118" s="74"/>
      <c r="O118" s="95" t="str">
        <f t="shared" ref="O118" si="179">_xlfn.CONCAT(I119,"/",$Z$4)</f>
        <v>35/24</v>
      </c>
      <c r="P118" s="96"/>
      <c r="R118" s="97"/>
      <c r="S118" s="98"/>
      <c r="T118" s="75"/>
      <c r="U118" s="94" t="str">
        <f t="shared" ref="U118" si="180">$E$8</f>
        <v>TMI-7D43</v>
      </c>
      <c r="V118" s="74"/>
      <c r="W118" s="95" t="str">
        <f t="shared" ref="W118" si="181">_xlfn.CONCAT(Q119,"/",$Z$4)</f>
        <v>36/24</v>
      </c>
      <c r="X118" s="96"/>
    </row>
    <row r="119" spans="1:24" ht="36" customHeight="1" x14ac:dyDescent="0.45">
      <c r="A119" s="77">
        <v>34</v>
      </c>
      <c r="B119" s="97"/>
      <c r="C119" s="98"/>
      <c r="D119" s="75"/>
      <c r="E119" s="94"/>
      <c r="F119" s="74"/>
      <c r="G119" s="95"/>
      <c r="H119" s="96"/>
      <c r="I119" s="77">
        <v>35</v>
      </c>
      <c r="J119" s="97"/>
      <c r="K119" s="98"/>
      <c r="L119" s="75"/>
      <c r="M119" s="94"/>
      <c r="N119" s="74"/>
      <c r="O119" s="95"/>
      <c r="P119" s="96"/>
      <c r="Q119" s="77">
        <v>36</v>
      </c>
      <c r="R119" s="97"/>
      <c r="S119" s="98"/>
      <c r="T119" s="75"/>
      <c r="U119" s="94"/>
      <c r="V119" s="74"/>
      <c r="W119" s="95"/>
      <c r="X119" s="96"/>
    </row>
    <row r="120" spans="1:24" ht="15.75" customHeight="1" x14ac:dyDescent="0.45"/>
    <row r="121" spans="1:24" ht="15" customHeight="1" x14ac:dyDescent="0.3">
      <c r="B121" s="97" t="s">
        <v>28</v>
      </c>
      <c r="C121" s="98" t="str">
        <f t="shared" ref="C121" si="182">$C$1</f>
        <v>CBT/RACK</v>
      </c>
      <c r="D121" s="75"/>
      <c r="E121" s="89" t="str">
        <f t="shared" si="131"/>
        <v>SW TOKIO</v>
      </c>
      <c r="F121" s="89"/>
      <c r="G121" s="89"/>
      <c r="H121" s="89"/>
      <c r="J121" s="97" t="s">
        <v>28</v>
      </c>
      <c r="K121" s="98" t="str">
        <f t="shared" ref="K121" si="183">$C$1</f>
        <v>CBT/RACK</v>
      </c>
      <c r="L121" s="75"/>
      <c r="M121" s="89" t="str">
        <f t="shared" ref="M121" si="184">$E$1</f>
        <v>SW TOKIO</v>
      </c>
      <c r="N121" s="89"/>
      <c r="O121" s="89"/>
      <c r="P121" s="89"/>
      <c r="R121" s="97" t="s">
        <v>28</v>
      </c>
      <c r="S121" s="98" t="str">
        <f t="shared" ref="S121" si="185">$C$1</f>
        <v>CBT/RACK</v>
      </c>
      <c r="T121" s="75"/>
      <c r="U121" s="89" t="str">
        <f t="shared" ref="U121" si="186">$E$1</f>
        <v>SW TOKIO</v>
      </c>
      <c r="V121" s="89"/>
      <c r="W121" s="89"/>
      <c r="X121" s="89"/>
    </row>
    <row r="122" spans="1:24" ht="15.75" customHeight="1" x14ac:dyDescent="0.3">
      <c r="B122" s="97"/>
      <c r="C122" s="98"/>
      <c r="D122" s="75"/>
      <c r="E122" s="89"/>
      <c r="F122" s="89"/>
      <c r="G122" s="89"/>
      <c r="H122" s="89"/>
      <c r="J122" s="97"/>
      <c r="K122" s="98"/>
      <c r="L122" s="75"/>
      <c r="M122" s="89"/>
      <c r="N122" s="89"/>
      <c r="O122" s="89"/>
      <c r="P122" s="89"/>
      <c r="R122" s="97"/>
      <c r="S122" s="98"/>
      <c r="T122" s="75"/>
      <c r="U122" s="89"/>
      <c r="V122" s="89"/>
      <c r="W122" s="89"/>
      <c r="X122" s="89"/>
    </row>
    <row r="123" spans="1:24" s="80" customFormat="1" ht="21" customHeight="1" x14ac:dyDescent="0.3">
      <c r="A123" s="78"/>
      <c r="B123" s="97"/>
      <c r="C123" s="98"/>
      <c r="D123" s="79"/>
      <c r="E123" s="93" t="s">
        <v>2</v>
      </c>
      <c r="F123" s="93"/>
      <c r="G123" s="93"/>
      <c r="H123" s="93"/>
      <c r="I123" s="78"/>
      <c r="J123" s="97"/>
      <c r="K123" s="98"/>
      <c r="L123" s="79"/>
      <c r="M123" s="93" t="s">
        <v>2</v>
      </c>
      <c r="N123" s="93"/>
      <c r="O123" s="93"/>
      <c r="P123" s="93"/>
      <c r="Q123" s="78"/>
      <c r="R123" s="97"/>
      <c r="S123" s="98"/>
      <c r="T123" s="79"/>
      <c r="U123" s="93" t="s">
        <v>2</v>
      </c>
      <c r="V123" s="93"/>
      <c r="W123" s="93"/>
      <c r="X123" s="93"/>
    </row>
    <row r="124" spans="1:24" ht="57.75" customHeight="1" x14ac:dyDescent="0.3">
      <c r="B124" s="97"/>
      <c r="C124" s="98"/>
      <c r="D124" s="75"/>
      <c r="E124" s="91" t="str">
        <f t="shared" ref="E124" si="187">$E$4</f>
        <v>T-8255</v>
      </c>
      <c r="F124" s="91"/>
      <c r="G124" s="91"/>
      <c r="H124" s="91"/>
      <c r="J124" s="97"/>
      <c r="K124" s="98"/>
      <c r="L124" s="75"/>
      <c r="M124" s="91" t="str">
        <f t="shared" ref="M124" si="188">$E$4</f>
        <v>T-8255</v>
      </c>
      <c r="N124" s="91"/>
      <c r="O124" s="91"/>
      <c r="P124" s="91"/>
      <c r="R124" s="97"/>
      <c r="S124" s="98"/>
      <c r="T124" s="75"/>
      <c r="U124" s="91" t="str">
        <f t="shared" ref="U124" si="189">$E$4</f>
        <v>T-8255</v>
      </c>
      <c r="V124" s="91"/>
      <c r="W124" s="91"/>
      <c r="X124" s="91"/>
    </row>
    <row r="125" spans="1:24" s="80" customFormat="1" ht="21" customHeight="1" x14ac:dyDescent="0.3">
      <c r="A125" s="78"/>
      <c r="B125" s="97"/>
      <c r="C125" s="98"/>
      <c r="D125" s="79"/>
      <c r="E125" s="93" t="s">
        <v>132</v>
      </c>
      <c r="F125" s="93"/>
      <c r="G125" s="93"/>
      <c r="H125" s="93"/>
      <c r="I125" s="78"/>
      <c r="J125" s="97"/>
      <c r="K125" s="98"/>
      <c r="L125" s="79"/>
      <c r="M125" s="93" t="s">
        <v>132</v>
      </c>
      <c r="N125" s="93"/>
      <c r="O125" s="93"/>
      <c r="P125" s="93"/>
      <c r="Q125" s="78"/>
      <c r="R125" s="97"/>
      <c r="S125" s="98"/>
      <c r="T125" s="79"/>
      <c r="U125" s="93" t="s">
        <v>132</v>
      </c>
      <c r="V125" s="93"/>
      <c r="W125" s="93"/>
      <c r="X125" s="93"/>
    </row>
    <row r="126" spans="1:24" ht="57.75" customHeight="1" x14ac:dyDescent="0.3">
      <c r="B126" s="97"/>
      <c r="C126" s="98"/>
      <c r="D126" s="75"/>
      <c r="E126" s="92">
        <f t="shared" ref="E126" si="190">$E$6</f>
        <v>1286</v>
      </c>
      <c r="F126" s="92"/>
      <c r="G126" s="92"/>
      <c r="H126" s="92"/>
      <c r="J126" s="97"/>
      <c r="K126" s="98"/>
      <c r="L126" s="75"/>
      <c r="M126" s="92">
        <f t="shared" ref="M126" si="191">$E$6</f>
        <v>1286</v>
      </c>
      <c r="N126" s="92"/>
      <c r="O126" s="92"/>
      <c r="P126" s="92"/>
      <c r="R126" s="97"/>
      <c r="S126" s="98"/>
      <c r="T126" s="75"/>
      <c r="U126" s="92">
        <f t="shared" ref="U126" si="192">$E$6</f>
        <v>1286</v>
      </c>
      <c r="V126" s="92"/>
      <c r="W126" s="92"/>
      <c r="X126" s="92"/>
    </row>
    <row r="127" spans="1:24" s="80" customFormat="1" ht="21" customHeight="1" x14ac:dyDescent="0.3">
      <c r="A127" s="78"/>
      <c r="B127" s="97"/>
      <c r="C127" s="98"/>
      <c r="D127" s="79"/>
      <c r="E127" s="93" t="s">
        <v>5</v>
      </c>
      <c r="F127" s="93"/>
      <c r="G127" s="93"/>
      <c r="H127" s="93"/>
      <c r="I127" s="78"/>
      <c r="J127" s="97"/>
      <c r="K127" s="98"/>
      <c r="L127" s="79"/>
      <c r="M127" s="93" t="s">
        <v>5</v>
      </c>
      <c r="N127" s="93"/>
      <c r="O127" s="93"/>
      <c r="P127" s="93"/>
      <c r="Q127" s="78"/>
      <c r="R127" s="97"/>
      <c r="S127" s="98"/>
      <c r="T127" s="79"/>
      <c r="U127" s="93" t="s">
        <v>5</v>
      </c>
      <c r="V127" s="93"/>
      <c r="W127" s="93"/>
      <c r="X127" s="93"/>
    </row>
    <row r="128" spans="1:24" ht="18.75" customHeight="1" x14ac:dyDescent="0.45">
      <c r="B128" s="97"/>
      <c r="C128" s="98"/>
      <c r="D128" s="75"/>
      <c r="E128" s="94" t="str">
        <f t="shared" ref="E128" si="193">$E$8</f>
        <v>TMI-7D43</v>
      </c>
      <c r="F128" s="74"/>
      <c r="G128" s="95" t="str">
        <f t="shared" ref="G128" si="194">_xlfn.CONCAT(A129,"/",$Z$4)</f>
        <v>37/24</v>
      </c>
      <c r="H128" s="96"/>
      <c r="J128" s="97"/>
      <c r="K128" s="98"/>
      <c r="L128" s="75"/>
      <c r="M128" s="94" t="str">
        <f t="shared" ref="M128" si="195">$E$8</f>
        <v>TMI-7D43</v>
      </c>
      <c r="N128" s="74"/>
      <c r="O128" s="95" t="str">
        <f t="shared" ref="O128" si="196">_xlfn.CONCAT(I129,"/",$Z$4)</f>
        <v>38/24</v>
      </c>
      <c r="P128" s="96"/>
      <c r="R128" s="97"/>
      <c r="S128" s="98"/>
      <c r="T128" s="75"/>
      <c r="U128" s="94" t="str">
        <f t="shared" ref="U128" si="197">$E$8</f>
        <v>TMI-7D43</v>
      </c>
      <c r="V128" s="74"/>
      <c r="W128" s="95" t="str">
        <f t="shared" ref="W128" si="198">_xlfn.CONCAT(Q129,"/",$Z$4)</f>
        <v>39/24</v>
      </c>
      <c r="X128" s="96"/>
    </row>
    <row r="129" spans="1:24" ht="36" customHeight="1" x14ac:dyDescent="0.45">
      <c r="A129" s="77">
        <v>37</v>
      </c>
      <c r="B129" s="97"/>
      <c r="C129" s="98"/>
      <c r="D129" s="75"/>
      <c r="E129" s="94"/>
      <c r="F129" s="74"/>
      <c r="G129" s="95"/>
      <c r="H129" s="96"/>
      <c r="I129" s="77">
        <v>38</v>
      </c>
      <c r="J129" s="97"/>
      <c r="K129" s="98"/>
      <c r="L129" s="75"/>
      <c r="M129" s="94"/>
      <c r="N129" s="74"/>
      <c r="O129" s="95"/>
      <c r="P129" s="96"/>
      <c r="Q129" s="77">
        <v>39</v>
      </c>
      <c r="R129" s="97"/>
      <c r="S129" s="98"/>
      <c r="T129" s="75"/>
      <c r="U129" s="94"/>
      <c r="V129" s="74"/>
      <c r="W129" s="95"/>
      <c r="X129" s="96"/>
    </row>
    <row r="130" spans="1:24" ht="15.75" customHeight="1" x14ac:dyDescent="0.45"/>
    <row r="131" spans="1:24" ht="15" customHeight="1" x14ac:dyDescent="0.3">
      <c r="B131" s="97" t="s">
        <v>28</v>
      </c>
      <c r="C131" s="98" t="str">
        <f t="shared" ref="C131" si="199">$C$1</f>
        <v>CBT/RACK</v>
      </c>
      <c r="D131" s="75"/>
      <c r="E131" s="89" t="str">
        <f t="shared" si="131"/>
        <v>SW TOKIO</v>
      </c>
      <c r="F131" s="89"/>
      <c r="G131" s="89"/>
      <c r="H131" s="89"/>
      <c r="J131" s="97" t="s">
        <v>28</v>
      </c>
      <c r="K131" s="98" t="str">
        <f t="shared" ref="K131" si="200">$C$1</f>
        <v>CBT/RACK</v>
      </c>
      <c r="L131" s="75"/>
      <c r="M131" s="89" t="str">
        <f t="shared" ref="M131" si="201">$E$1</f>
        <v>SW TOKIO</v>
      </c>
      <c r="N131" s="89"/>
      <c r="O131" s="89"/>
      <c r="P131" s="89"/>
      <c r="R131" s="97" t="s">
        <v>28</v>
      </c>
      <c r="S131" s="98" t="str">
        <f t="shared" ref="S131" si="202">$C$1</f>
        <v>CBT/RACK</v>
      </c>
      <c r="T131" s="75"/>
      <c r="U131" s="89" t="str">
        <f t="shared" ref="U131" si="203">$E$1</f>
        <v>SW TOKIO</v>
      </c>
      <c r="V131" s="89"/>
      <c r="W131" s="89"/>
      <c r="X131" s="89"/>
    </row>
    <row r="132" spans="1:24" ht="15.75" customHeight="1" x14ac:dyDescent="0.3">
      <c r="B132" s="97"/>
      <c r="C132" s="98"/>
      <c r="D132" s="75"/>
      <c r="E132" s="89"/>
      <c r="F132" s="89"/>
      <c r="G132" s="89"/>
      <c r="H132" s="89"/>
      <c r="J132" s="97"/>
      <c r="K132" s="98"/>
      <c r="L132" s="75"/>
      <c r="M132" s="89"/>
      <c r="N132" s="89"/>
      <c r="O132" s="89"/>
      <c r="P132" s="89"/>
      <c r="R132" s="97"/>
      <c r="S132" s="98"/>
      <c r="T132" s="75"/>
      <c r="U132" s="89"/>
      <c r="V132" s="89"/>
      <c r="W132" s="89"/>
      <c r="X132" s="89"/>
    </row>
    <row r="133" spans="1:24" s="80" customFormat="1" ht="21" customHeight="1" x14ac:dyDescent="0.3">
      <c r="A133" s="78"/>
      <c r="B133" s="97"/>
      <c r="C133" s="98"/>
      <c r="D133" s="79"/>
      <c r="E133" s="93" t="s">
        <v>2</v>
      </c>
      <c r="F133" s="93"/>
      <c r="G133" s="93"/>
      <c r="H133" s="93"/>
      <c r="I133" s="78"/>
      <c r="J133" s="97"/>
      <c r="K133" s="98"/>
      <c r="L133" s="79"/>
      <c r="M133" s="93" t="s">
        <v>2</v>
      </c>
      <c r="N133" s="93"/>
      <c r="O133" s="93"/>
      <c r="P133" s="93"/>
      <c r="Q133" s="78"/>
      <c r="R133" s="97"/>
      <c r="S133" s="98"/>
      <c r="T133" s="79"/>
      <c r="U133" s="93" t="s">
        <v>2</v>
      </c>
      <c r="V133" s="93"/>
      <c r="W133" s="93"/>
      <c r="X133" s="93"/>
    </row>
    <row r="134" spans="1:24" ht="57.75" customHeight="1" x14ac:dyDescent="0.3">
      <c r="B134" s="97"/>
      <c r="C134" s="98"/>
      <c r="D134" s="75"/>
      <c r="E134" s="91" t="str">
        <f t="shared" ref="E134" si="204">$E$4</f>
        <v>T-8255</v>
      </c>
      <c r="F134" s="91"/>
      <c r="G134" s="91"/>
      <c r="H134" s="91"/>
      <c r="J134" s="97"/>
      <c r="K134" s="98"/>
      <c r="L134" s="75"/>
      <c r="M134" s="91" t="str">
        <f t="shared" ref="M134" si="205">$E$4</f>
        <v>T-8255</v>
      </c>
      <c r="N134" s="91"/>
      <c r="O134" s="91"/>
      <c r="P134" s="91"/>
      <c r="R134" s="97"/>
      <c r="S134" s="98"/>
      <c r="T134" s="75"/>
      <c r="U134" s="91" t="str">
        <f t="shared" ref="U134" si="206">$E$4</f>
        <v>T-8255</v>
      </c>
      <c r="V134" s="91"/>
      <c r="W134" s="91"/>
      <c r="X134" s="91"/>
    </row>
    <row r="135" spans="1:24" s="80" customFormat="1" ht="21" customHeight="1" x14ac:dyDescent="0.3">
      <c r="A135" s="78"/>
      <c r="B135" s="97"/>
      <c r="C135" s="98"/>
      <c r="D135" s="79"/>
      <c r="E135" s="93" t="s">
        <v>132</v>
      </c>
      <c r="F135" s="93"/>
      <c r="G135" s="93"/>
      <c r="H135" s="93"/>
      <c r="I135" s="78"/>
      <c r="J135" s="97"/>
      <c r="K135" s="98"/>
      <c r="L135" s="79"/>
      <c r="M135" s="93" t="s">
        <v>132</v>
      </c>
      <c r="N135" s="93"/>
      <c r="O135" s="93"/>
      <c r="P135" s="93"/>
      <c r="Q135" s="78"/>
      <c r="R135" s="97"/>
      <c r="S135" s="98"/>
      <c r="T135" s="79"/>
      <c r="U135" s="93" t="s">
        <v>132</v>
      </c>
      <c r="V135" s="93"/>
      <c r="W135" s="93"/>
      <c r="X135" s="93"/>
    </row>
    <row r="136" spans="1:24" ht="57.75" customHeight="1" x14ac:dyDescent="0.3">
      <c r="B136" s="97"/>
      <c r="C136" s="98"/>
      <c r="D136" s="75"/>
      <c r="E136" s="92">
        <v>7342</v>
      </c>
      <c r="F136" s="92"/>
      <c r="G136" s="92"/>
      <c r="H136" s="92"/>
      <c r="J136" s="97"/>
      <c r="K136" s="98"/>
      <c r="L136" s="75"/>
      <c r="M136" s="92">
        <f t="shared" ref="M136" si="207">$E$6</f>
        <v>1286</v>
      </c>
      <c r="N136" s="92"/>
      <c r="O136" s="92"/>
      <c r="P136" s="92"/>
      <c r="R136" s="97"/>
      <c r="S136" s="98"/>
      <c r="T136" s="75"/>
      <c r="U136" s="92">
        <f t="shared" ref="U136" si="208">$E$6</f>
        <v>1286</v>
      </c>
      <c r="V136" s="92"/>
      <c r="W136" s="92"/>
      <c r="X136" s="92"/>
    </row>
    <row r="137" spans="1:24" s="80" customFormat="1" ht="21" customHeight="1" x14ac:dyDescent="0.3">
      <c r="A137" s="78"/>
      <c r="B137" s="97"/>
      <c r="C137" s="98"/>
      <c r="D137" s="79"/>
      <c r="E137" s="93" t="s">
        <v>5</v>
      </c>
      <c r="F137" s="93"/>
      <c r="G137" s="93"/>
      <c r="H137" s="93"/>
      <c r="I137" s="78"/>
      <c r="J137" s="97"/>
      <c r="K137" s="98"/>
      <c r="L137" s="79"/>
      <c r="M137" s="93" t="s">
        <v>5</v>
      </c>
      <c r="N137" s="93"/>
      <c r="O137" s="93"/>
      <c r="P137" s="93"/>
      <c r="Q137" s="78"/>
      <c r="R137" s="97"/>
      <c r="S137" s="98"/>
      <c r="T137" s="79"/>
      <c r="U137" s="93" t="s">
        <v>5</v>
      </c>
      <c r="V137" s="93"/>
      <c r="W137" s="93"/>
      <c r="X137" s="93"/>
    </row>
    <row r="138" spans="1:24" ht="18.75" customHeight="1" x14ac:dyDescent="0.45">
      <c r="B138" s="97"/>
      <c r="C138" s="98"/>
      <c r="D138" s="75"/>
      <c r="E138" s="94" t="s">
        <v>256</v>
      </c>
      <c r="F138" s="74"/>
      <c r="G138" s="95" t="str">
        <f t="shared" ref="G138" si="209">_xlfn.CONCAT(A139,"/",$Z$4)</f>
        <v>40/24</v>
      </c>
      <c r="H138" s="96"/>
      <c r="J138" s="97"/>
      <c r="K138" s="98"/>
      <c r="L138" s="75"/>
      <c r="M138" s="94" t="str">
        <f t="shared" ref="M138" si="210">$E$8</f>
        <v>TMI-7D43</v>
      </c>
      <c r="N138" s="74"/>
      <c r="O138" s="95" t="str">
        <f t="shared" ref="O138" si="211">_xlfn.CONCAT(I139,"/",$Z$4)</f>
        <v>41/24</v>
      </c>
      <c r="P138" s="96"/>
      <c r="R138" s="97"/>
      <c r="S138" s="98"/>
      <c r="T138" s="75"/>
      <c r="U138" s="94" t="str">
        <f t="shared" ref="U138" si="212">$E$8</f>
        <v>TMI-7D43</v>
      </c>
      <c r="V138" s="74"/>
      <c r="W138" s="95" t="str">
        <f t="shared" ref="W138" si="213">_xlfn.CONCAT(Q139,"/",$Z$4)</f>
        <v>42/24</v>
      </c>
      <c r="X138" s="96"/>
    </row>
    <row r="139" spans="1:24" ht="36" customHeight="1" x14ac:dyDescent="0.45">
      <c r="A139" s="77">
        <v>40</v>
      </c>
      <c r="B139" s="97"/>
      <c r="C139" s="98"/>
      <c r="D139" s="75"/>
      <c r="E139" s="94"/>
      <c r="F139" s="74"/>
      <c r="G139" s="95"/>
      <c r="H139" s="96"/>
      <c r="I139" s="77">
        <v>41</v>
      </c>
      <c r="J139" s="97"/>
      <c r="K139" s="98"/>
      <c r="L139" s="75"/>
      <c r="M139" s="94"/>
      <c r="N139" s="74"/>
      <c r="O139" s="95"/>
      <c r="P139" s="96"/>
      <c r="Q139" s="77">
        <v>42</v>
      </c>
      <c r="R139" s="97"/>
      <c r="S139" s="98"/>
      <c r="T139" s="75"/>
      <c r="U139" s="94"/>
      <c r="V139" s="74"/>
      <c r="W139" s="95"/>
      <c r="X139" s="96"/>
    </row>
    <row r="140" spans="1:24" ht="15.75" customHeight="1" x14ac:dyDescent="0.45"/>
    <row r="141" spans="1:24" ht="15" customHeight="1" x14ac:dyDescent="0.3">
      <c r="B141" s="97" t="s">
        <v>28</v>
      </c>
      <c r="C141" s="98" t="str">
        <f t="shared" ref="C141" si="214">$C$1</f>
        <v>CBT/RACK</v>
      </c>
      <c r="D141" s="75"/>
      <c r="E141" s="89" t="str">
        <f t="shared" si="131"/>
        <v>SW TOKIO</v>
      </c>
      <c r="F141" s="89"/>
      <c r="G141" s="89"/>
      <c r="H141" s="89"/>
      <c r="J141" s="97" t="s">
        <v>28</v>
      </c>
      <c r="K141" s="98" t="str">
        <f t="shared" ref="K141" si="215">$C$1</f>
        <v>CBT/RACK</v>
      </c>
      <c r="L141" s="75"/>
      <c r="M141" s="89" t="str">
        <f t="shared" ref="M141" si="216">$E$1</f>
        <v>SW TOKIO</v>
      </c>
      <c r="N141" s="89"/>
      <c r="O141" s="89"/>
      <c r="P141" s="89"/>
      <c r="R141" s="97" t="s">
        <v>28</v>
      </c>
      <c r="S141" s="98" t="str">
        <f t="shared" ref="S141" si="217">$C$1</f>
        <v>CBT/RACK</v>
      </c>
      <c r="T141" s="75"/>
      <c r="U141" s="89" t="str">
        <f t="shared" ref="U141" si="218">$E$1</f>
        <v>SW TOKIO</v>
      </c>
      <c r="V141" s="89"/>
      <c r="W141" s="89"/>
      <c r="X141" s="89"/>
    </row>
    <row r="142" spans="1:24" ht="15.75" customHeight="1" x14ac:dyDescent="0.3">
      <c r="B142" s="97"/>
      <c r="C142" s="98"/>
      <c r="D142" s="75"/>
      <c r="E142" s="89"/>
      <c r="F142" s="89"/>
      <c r="G142" s="89"/>
      <c r="H142" s="89"/>
      <c r="J142" s="97"/>
      <c r="K142" s="98"/>
      <c r="L142" s="75"/>
      <c r="M142" s="89"/>
      <c r="N142" s="89"/>
      <c r="O142" s="89"/>
      <c r="P142" s="89"/>
      <c r="R142" s="97"/>
      <c r="S142" s="98"/>
      <c r="T142" s="75"/>
      <c r="U142" s="89"/>
      <c r="V142" s="89"/>
      <c r="W142" s="89"/>
      <c r="X142" s="89"/>
    </row>
    <row r="143" spans="1:24" s="80" customFormat="1" ht="21" customHeight="1" x14ac:dyDescent="0.3">
      <c r="A143" s="78"/>
      <c r="B143" s="97"/>
      <c r="C143" s="98"/>
      <c r="D143" s="79"/>
      <c r="E143" s="93" t="s">
        <v>2</v>
      </c>
      <c r="F143" s="93"/>
      <c r="G143" s="93"/>
      <c r="H143" s="93"/>
      <c r="I143" s="78"/>
      <c r="J143" s="97"/>
      <c r="K143" s="98"/>
      <c r="L143" s="79"/>
      <c r="M143" s="93" t="s">
        <v>2</v>
      </c>
      <c r="N143" s="93"/>
      <c r="O143" s="93"/>
      <c r="P143" s="93"/>
      <c r="Q143" s="78"/>
      <c r="R143" s="97"/>
      <c r="S143" s="98"/>
      <c r="T143" s="79"/>
      <c r="U143" s="93" t="s">
        <v>2</v>
      </c>
      <c r="V143" s="93"/>
      <c r="W143" s="93"/>
      <c r="X143" s="93"/>
    </row>
    <row r="144" spans="1:24" ht="57.75" customHeight="1" x14ac:dyDescent="0.3">
      <c r="B144" s="97"/>
      <c r="C144" s="98"/>
      <c r="D144" s="75"/>
      <c r="E144" s="91" t="str">
        <f t="shared" ref="E144" si="219">$E$4</f>
        <v>T-8255</v>
      </c>
      <c r="F144" s="91"/>
      <c r="G144" s="91"/>
      <c r="H144" s="91"/>
      <c r="J144" s="97"/>
      <c r="K144" s="98"/>
      <c r="L144" s="75"/>
      <c r="M144" s="91" t="str">
        <f t="shared" ref="M144" si="220">$E$4</f>
        <v>T-8255</v>
      </c>
      <c r="N144" s="91"/>
      <c r="O144" s="91"/>
      <c r="P144" s="91"/>
      <c r="R144" s="97"/>
      <c r="S144" s="98"/>
      <c r="T144" s="75"/>
      <c r="U144" s="91" t="str">
        <f t="shared" ref="U144" si="221">$E$4</f>
        <v>T-8255</v>
      </c>
      <c r="V144" s="91"/>
      <c r="W144" s="91"/>
      <c r="X144" s="91"/>
    </row>
    <row r="145" spans="1:24" s="80" customFormat="1" ht="21" customHeight="1" x14ac:dyDescent="0.3">
      <c r="A145" s="78"/>
      <c r="B145" s="97"/>
      <c r="C145" s="98"/>
      <c r="D145" s="79"/>
      <c r="E145" s="93" t="s">
        <v>132</v>
      </c>
      <c r="F145" s="93"/>
      <c r="G145" s="93"/>
      <c r="H145" s="93"/>
      <c r="I145" s="78"/>
      <c r="J145" s="97"/>
      <c r="K145" s="98"/>
      <c r="L145" s="79"/>
      <c r="M145" s="93" t="s">
        <v>132</v>
      </c>
      <c r="N145" s="93"/>
      <c r="O145" s="93"/>
      <c r="P145" s="93"/>
      <c r="Q145" s="78"/>
      <c r="R145" s="97"/>
      <c r="S145" s="98"/>
      <c r="T145" s="79"/>
      <c r="U145" s="93" t="s">
        <v>132</v>
      </c>
      <c r="V145" s="93"/>
      <c r="W145" s="93"/>
      <c r="X145" s="93"/>
    </row>
    <row r="146" spans="1:24" ht="57.75" customHeight="1" x14ac:dyDescent="0.3">
      <c r="B146" s="97"/>
      <c r="C146" s="98"/>
      <c r="D146" s="75"/>
      <c r="E146" s="92">
        <f t="shared" ref="E146" si="222">$E$6</f>
        <v>1286</v>
      </c>
      <c r="F146" s="92"/>
      <c r="G146" s="92"/>
      <c r="H146" s="92"/>
      <c r="J146" s="97"/>
      <c r="K146" s="98"/>
      <c r="L146" s="75"/>
      <c r="M146" s="92">
        <f t="shared" ref="M146" si="223">$E$6</f>
        <v>1286</v>
      </c>
      <c r="N146" s="92"/>
      <c r="O146" s="92"/>
      <c r="P146" s="92"/>
      <c r="R146" s="97"/>
      <c r="S146" s="98"/>
      <c r="T146" s="75"/>
      <c r="U146" s="92">
        <f t="shared" ref="U146" si="224">$E$6</f>
        <v>1286</v>
      </c>
      <c r="V146" s="92"/>
      <c r="W146" s="92"/>
      <c r="X146" s="92"/>
    </row>
    <row r="147" spans="1:24" s="80" customFormat="1" ht="21" customHeight="1" x14ac:dyDescent="0.3">
      <c r="A147" s="78"/>
      <c r="B147" s="97"/>
      <c r="C147" s="98"/>
      <c r="D147" s="79"/>
      <c r="E147" s="93" t="s">
        <v>5</v>
      </c>
      <c r="F147" s="93"/>
      <c r="G147" s="93"/>
      <c r="H147" s="93"/>
      <c r="I147" s="78"/>
      <c r="J147" s="97"/>
      <c r="K147" s="98"/>
      <c r="L147" s="79"/>
      <c r="M147" s="93" t="s">
        <v>5</v>
      </c>
      <c r="N147" s="93"/>
      <c r="O147" s="93"/>
      <c r="P147" s="93"/>
      <c r="Q147" s="78"/>
      <c r="R147" s="97"/>
      <c r="S147" s="98"/>
      <c r="T147" s="79"/>
      <c r="U147" s="93" t="s">
        <v>5</v>
      </c>
      <c r="V147" s="93"/>
      <c r="W147" s="93"/>
      <c r="X147" s="93"/>
    </row>
    <row r="148" spans="1:24" ht="18.75" customHeight="1" x14ac:dyDescent="0.45">
      <c r="B148" s="97"/>
      <c r="C148" s="98"/>
      <c r="D148" s="75"/>
      <c r="E148" s="94" t="str">
        <f t="shared" ref="E148" si="225">$E$8</f>
        <v>TMI-7D43</v>
      </c>
      <c r="F148" s="74"/>
      <c r="G148" s="95" t="str">
        <f t="shared" ref="G148" si="226">_xlfn.CONCAT(A149,"/",$Z$4)</f>
        <v>43/24</v>
      </c>
      <c r="H148" s="96"/>
      <c r="J148" s="97"/>
      <c r="K148" s="98"/>
      <c r="L148" s="75"/>
      <c r="M148" s="94" t="str">
        <f t="shared" ref="M148" si="227">$E$8</f>
        <v>TMI-7D43</v>
      </c>
      <c r="N148" s="74"/>
      <c r="O148" s="95" t="str">
        <f t="shared" ref="O148" si="228">_xlfn.CONCAT(I149,"/",$Z$4)</f>
        <v>44/24</v>
      </c>
      <c r="P148" s="96"/>
      <c r="R148" s="97"/>
      <c r="S148" s="98"/>
      <c r="T148" s="75"/>
      <c r="U148" s="94" t="str">
        <f t="shared" ref="U148" si="229">$E$8</f>
        <v>TMI-7D43</v>
      </c>
      <c r="V148" s="74"/>
      <c r="W148" s="95" t="str">
        <f t="shared" ref="W148" si="230">_xlfn.CONCAT(Q149,"/",$Z$4)</f>
        <v>45/24</v>
      </c>
      <c r="X148" s="96"/>
    </row>
    <row r="149" spans="1:24" ht="36" customHeight="1" x14ac:dyDescent="0.45">
      <c r="A149" s="77">
        <v>43</v>
      </c>
      <c r="B149" s="97"/>
      <c r="C149" s="98"/>
      <c r="D149" s="75"/>
      <c r="E149" s="94"/>
      <c r="F149" s="74"/>
      <c r="G149" s="95"/>
      <c r="H149" s="96"/>
      <c r="I149" s="77">
        <v>44</v>
      </c>
      <c r="J149" s="97"/>
      <c r="K149" s="98"/>
      <c r="L149" s="75"/>
      <c r="M149" s="94"/>
      <c r="N149" s="74"/>
      <c r="O149" s="95"/>
      <c r="P149" s="96"/>
      <c r="Q149" s="77">
        <v>45</v>
      </c>
      <c r="R149" s="97"/>
      <c r="S149" s="98"/>
      <c r="T149" s="75"/>
      <c r="U149" s="94"/>
      <c r="V149" s="74"/>
      <c r="W149" s="95"/>
      <c r="X149" s="96"/>
    </row>
    <row r="150" spans="1:24" ht="15.75" customHeight="1" x14ac:dyDescent="0.45"/>
    <row r="151" spans="1:24" ht="15" customHeight="1" x14ac:dyDescent="0.3">
      <c r="B151" s="97" t="s">
        <v>28</v>
      </c>
      <c r="C151" s="98" t="str">
        <f t="shared" ref="C151" si="231">$C$1</f>
        <v>CBT/RACK</v>
      </c>
      <c r="D151" s="75"/>
      <c r="E151" s="89" t="str">
        <f t="shared" si="131"/>
        <v>SW TOKIO</v>
      </c>
      <c r="F151" s="89"/>
      <c r="G151" s="89"/>
      <c r="H151" s="89"/>
      <c r="J151" s="97" t="s">
        <v>28</v>
      </c>
      <c r="K151" s="98" t="str">
        <f t="shared" ref="K151" si="232">$C$1</f>
        <v>CBT/RACK</v>
      </c>
      <c r="L151" s="75"/>
      <c r="M151" s="89" t="str">
        <f t="shared" ref="M151" si="233">$E$1</f>
        <v>SW TOKIO</v>
      </c>
      <c r="N151" s="89"/>
      <c r="O151" s="89"/>
      <c r="P151" s="89"/>
      <c r="R151" s="97" t="s">
        <v>28</v>
      </c>
      <c r="S151" s="98" t="str">
        <f t="shared" ref="S151" si="234">$C$1</f>
        <v>CBT/RACK</v>
      </c>
      <c r="T151" s="75"/>
      <c r="U151" s="89" t="str">
        <f t="shared" ref="U151" si="235">$E$1</f>
        <v>SW TOKIO</v>
      </c>
      <c r="V151" s="89"/>
      <c r="W151" s="89"/>
      <c r="X151" s="89"/>
    </row>
    <row r="152" spans="1:24" ht="15.75" customHeight="1" x14ac:dyDescent="0.3">
      <c r="B152" s="97"/>
      <c r="C152" s="98"/>
      <c r="D152" s="75"/>
      <c r="E152" s="89"/>
      <c r="F152" s="89"/>
      <c r="G152" s="89"/>
      <c r="H152" s="89"/>
      <c r="J152" s="97"/>
      <c r="K152" s="98"/>
      <c r="L152" s="75"/>
      <c r="M152" s="89"/>
      <c r="N152" s="89"/>
      <c r="O152" s="89"/>
      <c r="P152" s="89"/>
      <c r="R152" s="97"/>
      <c r="S152" s="98"/>
      <c r="T152" s="75"/>
      <c r="U152" s="89"/>
      <c r="V152" s="89"/>
      <c r="W152" s="89"/>
      <c r="X152" s="89"/>
    </row>
    <row r="153" spans="1:24" s="80" customFormat="1" ht="21" customHeight="1" x14ac:dyDescent="0.3">
      <c r="A153" s="78"/>
      <c r="B153" s="97"/>
      <c r="C153" s="98"/>
      <c r="D153" s="79"/>
      <c r="E153" s="93" t="s">
        <v>2</v>
      </c>
      <c r="F153" s="93"/>
      <c r="G153" s="93"/>
      <c r="H153" s="93"/>
      <c r="I153" s="78"/>
      <c r="J153" s="97"/>
      <c r="K153" s="98"/>
      <c r="L153" s="79"/>
      <c r="M153" s="93" t="s">
        <v>2</v>
      </c>
      <c r="N153" s="93"/>
      <c r="O153" s="93"/>
      <c r="P153" s="93"/>
      <c r="Q153" s="78"/>
      <c r="R153" s="97"/>
      <c r="S153" s="98"/>
      <c r="T153" s="79"/>
      <c r="U153" s="93" t="s">
        <v>2</v>
      </c>
      <c r="V153" s="93"/>
      <c r="W153" s="93"/>
      <c r="X153" s="93"/>
    </row>
    <row r="154" spans="1:24" ht="57.75" customHeight="1" x14ac:dyDescent="0.3">
      <c r="B154" s="97"/>
      <c r="C154" s="98"/>
      <c r="D154" s="75"/>
      <c r="E154" s="91" t="str">
        <f t="shared" ref="E154" si="236">$E$4</f>
        <v>T-8255</v>
      </c>
      <c r="F154" s="91"/>
      <c r="G154" s="91"/>
      <c r="H154" s="91"/>
      <c r="J154" s="97"/>
      <c r="K154" s="98"/>
      <c r="L154" s="75"/>
      <c r="M154" s="91" t="str">
        <f t="shared" ref="M154" si="237">$E$4</f>
        <v>T-8255</v>
      </c>
      <c r="N154" s="91"/>
      <c r="O154" s="91"/>
      <c r="P154" s="91"/>
      <c r="R154" s="97"/>
      <c r="S154" s="98"/>
      <c r="T154" s="75"/>
      <c r="U154" s="91" t="str">
        <f t="shared" ref="U154" si="238">$E$4</f>
        <v>T-8255</v>
      </c>
      <c r="V154" s="91"/>
      <c r="W154" s="91"/>
      <c r="X154" s="91"/>
    </row>
    <row r="155" spans="1:24" s="80" customFormat="1" ht="21" customHeight="1" x14ac:dyDescent="0.3">
      <c r="A155" s="78"/>
      <c r="B155" s="97"/>
      <c r="C155" s="98"/>
      <c r="D155" s="79"/>
      <c r="E155" s="93" t="s">
        <v>132</v>
      </c>
      <c r="F155" s="93"/>
      <c r="G155" s="93"/>
      <c r="H155" s="93"/>
      <c r="I155" s="78"/>
      <c r="J155" s="97"/>
      <c r="K155" s="98"/>
      <c r="L155" s="79"/>
      <c r="M155" s="93" t="s">
        <v>132</v>
      </c>
      <c r="N155" s="93"/>
      <c r="O155" s="93"/>
      <c r="P155" s="93"/>
      <c r="Q155" s="78"/>
      <c r="R155" s="97"/>
      <c r="S155" s="98"/>
      <c r="T155" s="79"/>
      <c r="U155" s="93" t="s">
        <v>132</v>
      </c>
      <c r="V155" s="93"/>
      <c r="W155" s="93"/>
      <c r="X155" s="93"/>
    </row>
    <row r="156" spans="1:24" ht="57.75" customHeight="1" x14ac:dyDescent="0.3">
      <c r="B156" s="97"/>
      <c r="C156" s="98"/>
      <c r="D156" s="75"/>
      <c r="E156" s="92">
        <f t="shared" ref="E156" si="239">$E$6</f>
        <v>1286</v>
      </c>
      <c r="F156" s="92"/>
      <c r="G156" s="92"/>
      <c r="H156" s="92"/>
      <c r="J156" s="97"/>
      <c r="K156" s="98"/>
      <c r="L156" s="75"/>
      <c r="M156" s="92">
        <f t="shared" ref="M156" si="240">$E$6</f>
        <v>1286</v>
      </c>
      <c r="N156" s="92"/>
      <c r="O156" s="92"/>
      <c r="P156" s="92"/>
      <c r="R156" s="97"/>
      <c r="S156" s="98"/>
      <c r="T156" s="75"/>
      <c r="U156" s="92">
        <f t="shared" ref="U156" si="241">$E$6</f>
        <v>1286</v>
      </c>
      <c r="V156" s="92"/>
      <c r="W156" s="92"/>
      <c r="X156" s="92"/>
    </row>
    <row r="157" spans="1:24" s="80" customFormat="1" ht="21" customHeight="1" x14ac:dyDescent="0.3">
      <c r="A157" s="78"/>
      <c r="B157" s="97"/>
      <c r="C157" s="98"/>
      <c r="D157" s="79"/>
      <c r="E157" s="93" t="s">
        <v>5</v>
      </c>
      <c r="F157" s="93"/>
      <c r="G157" s="93"/>
      <c r="H157" s="93"/>
      <c r="I157" s="78"/>
      <c r="J157" s="97"/>
      <c r="K157" s="98"/>
      <c r="L157" s="79"/>
      <c r="M157" s="93" t="s">
        <v>5</v>
      </c>
      <c r="N157" s="93"/>
      <c r="O157" s="93"/>
      <c r="P157" s="93"/>
      <c r="Q157" s="78"/>
      <c r="R157" s="97"/>
      <c r="S157" s="98"/>
      <c r="T157" s="79"/>
      <c r="U157" s="93" t="s">
        <v>5</v>
      </c>
      <c r="V157" s="93"/>
      <c r="W157" s="93"/>
      <c r="X157" s="93"/>
    </row>
    <row r="158" spans="1:24" ht="18.75" customHeight="1" x14ac:dyDescent="0.45">
      <c r="B158" s="97"/>
      <c r="C158" s="98"/>
      <c r="D158" s="75"/>
      <c r="E158" s="94" t="str">
        <f t="shared" ref="E158" si="242">$E$8</f>
        <v>TMI-7D43</v>
      </c>
      <c r="F158" s="74"/>
      <c r="G158" s="95" t="str">
        <f t="shared" ref="G158" si="243">_xlfn.CONCAT(A159,"/",$Z$4)</f>
        <v>46/24</v>
      </c>
      <c r="H158" s="96"/>
      <c r="J158" s="97"/>
      <c r="K158" s="98"/>
      <c r="L158" s="75"/>
      <c r="M158" s="94" t="str">
        <f t="shared" ref="M158" si="244">$E$8</f>
        <v>TMI-7D43</v>
      </c>
      <c r="N158" s="74"/>
      <c r="O158" s="95" t="str">
        <f t="shared" ref="O158" si="245">_xlfn.CONCAT(I159,"/",$Z$4)</f>
        <v>47/24</v>
      </c>
      <c r="P158" s="96"/>
      <c r="R158" s="97"/>
      <c r="S158" s="98"/>
      <c r="T158" s="75"/>
      <c r="U158" s="94" t="str">
        <f t="shared" ref="U158" si="246">$E$8</f>
        <v>TMI-7D43</v>
      </c>
      <c r="V158" s="74"/>
      <c r="W158" s="95" t="str">
        <f t="shared" ref="W158" si="247">_xlfn.CONCAT(Q159,"/",$Z$4)</f>
        <v>48/24</v>
      </c>
      <c r="X158" s="96"/>
    </row>
    <row r="159" spans="1:24" ht="36" customHeight="1" x14ac:dyDescent="0.45">
      <c r="A159" s="77">
        <v>46</v>
      </c>
      <c r="B159" s="97"/>
      <c r="C159" s="98"/>
      <c r="D159" s="75"/>
      <c r="E159" s="94"/>
      <c r="F159" s="74"/>
      <c r="G159" s="95"/>
      <c r="H159" s="96"/>
      <c r="I159" s="77">
        <v>47</v>
      </c>
      <c r="J159" s="97"/>
      <c r="K159" s="98"/>
      <c r="L159" s="75"/>
      <c r="M159" s="94"/>
      <c r="N159" s="74"/>
      <c r="O159" s="95"/>
      <c r="P159" s="96"/>
      <c r="Q159" s="77">
        <v>48</v>
      </c>
      <c r="R159" s="97"/>
      <c r="S159" s="98"/>
      <c r="T159" s="75"/>
      <c r="U159" s="94"/>
      <c r="V159" s="74"/>
      <c r="W159" s="95"/>
      <c r="X159" s="96"/>
    </row>
    <row r="160" spans="1:24" ht="15.75" customHeight="1" x14ac:dyDescent="0.45"/>
    <row r="161" spans="1:24" ht="15" customHeight="1" x14ac:dyDescent="0.3">
      <c r="B161" s="97" t="s">
        <v>28</v>
      </c>
      <c r="C161" s="98" t="str">
        <f t="shared" ref="C161" si="248">$C$1</f>
        <v>CBT/RACK</v>
      </c>
      <c r="D161" s="75"/>
      <c r="E161" s="89" t="str">
        <f t="shared" ref="E161:E181" si="249">$E$1</f>
        <v>SW TOKIO</v>
      </c>
      <c r="F161" s="89"/>
      <c r="G161" s="89"/>
      <c r="H161" s="89"/>
      <c r="J161" s="97" t="s">
        <v>28</v>
      </c>
      <c r="K161" s="98" t="str">
        <f t="shared" ref="K161" si="250">$C$1</f>
        <v>CBT/RACK</v>
      </c>
      <c r="L161" s="75"/>
      <c r="M161" s="89" t="str">
        <f t="shared" ref="M161" si="251">$E$1</f>
        <v>SW TOKIO</v>
      </c>
      <c r="N161" s="89"/>
      <c r="O161" s="89"/>
      <c r="P161" s="89"/>
      <c r="R161" s="97" t="s">
        <v>28</v>
      </c>
      <c r="S161" s="98" t="str">
        <f t="shared" ref="S161" si="252">$C$1</f>
        <v>CBT/RACK</v>
      </c>
      <c r="T161" s="75"/>
      <c r="U161" s="89" t="str">
        <f t="shared" ref="U161" si="253">$E$1</f>
        <v>SW TOKIO</v>
      </c>
      <c r="V161" s="89"/>
      <c r="W161" s="89"/>
      <c r="X161" s="89"/>
    </row>
    <row r="162" spans="1:24" ht="15.75" customHeight="1" x14ac:dyDescent="0.3">
      <c r="B162" s="97"/>
      <c r="C162" s="98"/>
      <c r="D162" s="75"/>
      <c r="E162" s="89"/>
      <c r="F162" s="89"/>
      <c r="G162" s="89"/>
      <c r="H162" s="89"/>
      <c r="J162" s="97"/>
      <c r="K162" s="98"/>
      <c r="L162" s="75"/>
      <c r="M162" s="89"/>
      <c r="N162" s="89"/>
      <c r="O162" s="89"/>
      <c r="P162" s="89"/>
      <c r="R162" s="97"/>
      <c r="S162" s="98"/>
      <c r="T162" s="75"/>
      <c r="U162" s="89"/>
      <c r="V162" s="89"/>
      <c r="W162" s="89"/>
      <c r="X162" s="89"/>
    </row>
    <row r="163" spans="1:24" ht="12.75" customHeight="1" x14ac:dyDescent="0.3">
      <c r="B163" s="97"/>
      <c r="C163" s="98"/>
      <c r="D163" s="75"/>
      <c r="E163" s="90" t="s">
        <v>2</v>
      </c>
      <c r="F163" s="90"/>
      <c r="G163" s="90"/>
      <c r="H163" s="90"/>
      <c r="J163" s="97"/>
      <c r="K163" s="98"/>
      <c r="L163" s="75"/>
      <c r="M163" s="90" t="s">
        <v>2</v>
      </c>
      <c r="N163" s="90"/>
      <c r="O163" s="90"/>
      <c r="P163" s="90"/>
      <c r="R163" s="97"/>
      <c r="S163" s="98"/>
      <c r="T163" s="75"/>
      <c r="U163" s="90" t="s">
        <v>2</v>
      </c>
      <c r="V163" s="90"/>
      <c r="W163" s="90"/>
      <c r="X163" s="90"/>
    </row>
    <row r="164" spans="1:24" ht="57.75" customHeight="1" x14ac:dyDescent="0.3">
      <c r="B164" s="97"/>
      <c r="C164" s="98"/>
      <c r="D164" s="75"/>
      <c r="E164" s="91" t="str">
        <f t="shared" ref="E164" si="254">$E$4</f>
        <v>T-8255</v>
      </c>
      <c r="F164" s="91"/>
      <c r="G164" s="91"/>
      <c r="H164" s="91"/>
      <c r="J164" s="97"/>
      <c r="K164" s="98"/>
      <c r="L164" s="75"/>
      <c r="M164" s="91" t="str">
        <f t="shared" ref="M164" si="255">$E$4</f>
        <v>T-8255</v>
      </c>
      <c r="N164" s="91"/>
      <c r="O164" s="91"/>
      <c r="P164" s="91"/>
      <c r="R164" s="97"/>
      <c r="S164" s="98"/>
      <c r="T164" s="75"/>
      <c r="U164" s="91" t="str">
        <f t="shared" ref="U164" si="256">$E$4</f>
        <v>T-8255</v>
      </c>
      <c r="V164" s="91"/>
      <c r="W164" s="91"/>
      <c r="X164" s="91"/>
    </row>
    <row r="165" spans="1:24" ht="12.75" customHeight="1" x14ac:dyDescent="0.3">
      <c r="B165" s="97"/>
      <c r="C165" s="98"/>
      <c r="D165" s="75"/>
      <c r="E165" s="90" t="s">
        <v>132</v>
      </c>
      <c r="F165" s="90"/>
      <c r="G165" s="90"/>
      <c r="H165" s="90"/>
      <c r="J165" s="97"/>
      <c r="K165" s="98"/>
      <c r="L165" s="75"/>
      <c r="M165" s="90" t="s">
        <v>132</v>
      </c>
      <c r="N165" s="90"/>
      <c r="O165" s="90"/>
      <c r="P165" s="90"/>
      <c r="R165" s="97"/>
      <c r="S165" s="98"/>
      <c r="T165" s="75"/>
      <c r="U165" s="90" t="s">
        <v>132</v>
      </c>
      <c r="V165" s="90"/>
      <c r="W165" s="90"/>
      <c r="X165" s="90"/>
    </row>
    <row r="166" spans="1:24" ht="57.75" customHeight="1" x14ac:dyDescent="0.3">
      <c r="B166" s="97"/>
      <c r="C166" s="98"/>
      <c r="D166" s="75"/>
      <c r="E166" s="92">
        <f t="shared" ref="E166" si="257">$E$6</f>
        <v>1286</v>
      </c>
      <c r="F166" s="92"/>
      <c r="G166" s="92"/>
      <c r="H166" s="92"/>
      <c r="J166" s="97"/>
      <c r="K166" s="98"/>
      <c r="L166" s="75"/>
      <c r="M166" s="92">
        <f t="shared" ref="M166" si="258">$E$6</f>
        <v>1286</v>
      </c>
      <c r="N166" s="92"/>
      <c r="O166" s="92"/>
      <c r="P166" s="92"/>
      <c r="R166" s="97"/>
      <c r="S166" s="98"/>
      <c r="T166" s="75"/>
      <c r="U166" s="92">
        <f t="shared" ref="U166" si="259">$E$6</f>
        <v>1286</v>
      </c>
      <c r="V166" s="92"/>
      <c r="W166" s="92"/>
      <c r="X166" s="92"/>
    </row>
    <row r="167" spans="1:24" ht="12.75" customHeight="1" x14ac:dyDescent="0.3">
      <c r="B167" s="97"/>
      <c r="C167" s="98"/>
      <c r="D167" s="75"/>
      <c r="E167" s="90" t="s">
        <v>5</v>
      </c>
      <c r="F167" s="90"/>
      <c r="G167" s="90"/>
      <c r="H167" s="90"/>
      <c r="J167" s="97"/>
      <c r="K167" s="98"/>
      <c r="L167" s="75"/>
      <c r="M167" s="90" t="s">
        <v>5</v>
      </c>
      <c r="N167" s="90"/>
      <c r="O167" s="90"/>
      <c r="P167" s="90"/>
      <c r="R167" s="97"/>
      <c r="S167" s="98"/>
      <c r="T167" s="75"/>
      <c r="U167" s="90" t="s">
        <v>5</v>
      </c>
      <c r="V167" s="90"/>
      <c r="W167" s="90"/>
      <c r="X167" s="90"/>
    </row>
    <row r="168" spans="1:24" ht="18.75" customHeight="1" x14ac:dyDescent="0.45">
      <c r="B168" s="97"/>
      <c r="C168" s="98"/>
      <c r="D168" s="75"/>
      <c r="E168" s="94" t="str">
        <f t="shared" ref="E168" si="260">$E$8</f>
        <v>TMI-7D43</v>
      </c>
      <c r="F168" s="74"/>
      <c r="G168" s="95" t="str">
        <f t="shared" ref="G168" si="261">_xlfn.CONCAT(A169,"/",$Z$4)</f>
        <v>49/24</v>
      </c>
      <c r="H168" s="96"/>
      <c r="J168" s="97"/>
      <c r="K168" s="98"/>
      <c r="L168" s="75"/>
      <c r="M168" s="94" t="str">
        <f t="shared" ref="M168" si="262">$E$8</f>
        <v>TMI-7D43</v>
      </c>
      <c r="N168" s="74"/>
      <c r="O168" s="95" t="str">
        <f t="shared" ref="O168" si="263">_xlfn.CONCAT(I169,"/",$Z$4)</f>
        <v>50/24</v>
      </c>
      <c r="P168" s="96"/>
      <c r="R168" s="97"/>
      <c r="S168" s="98"/>
      <c r="T168" s="75"/>
      <c r="U168" s="94" t="str">
        <f t="shared" ref="U168" si="264">$E$8</f>
        <v>TMI-7D43</v>
      </c>
      <c r="V168" s="74"/>
      <c r="W168" s="95" t="str">
        <f t="shared" ref="W168" si="265">_xlfn.CONCAT(Q169,"/",$Z$4)</f>
        <v>51/24</v>
      </c>
      <c r="X168" s="96"/>
    </row>
    <row r="169" spans="1:24" ht="36" customHeight="1" x14ac:dyDescent="0.45">
      <c r="A169" s="77">
        <v>49</v>
      </c>
      <c r="B169" s="97"/>
      <c r="C169" s="98"/>
      <c r="D169" s="75"/>
      <c r="E169" s="94"/>
      <c r="F169" s="74"/>
      <c r="G169" s="95"/>
      <c r="H169" s="96"/>
      <c r="I169" s="77">
        <v>50</v>
      </c>
      <c r="J169" s="97"/>
      <c r="K169" s="98"/>
      <c r="L169" s="75"/>
      <c r="M169" s="94"/>
      <c r="N169" s="74"/>
      <c r="O169" s="95"/>
      <c r="P169" s="96"/>
      <c r="Q169" s="77">
        <v>51</v>
      </c>
      <c r="R169" s="97"/>
      <c r="S169" s="98"/>
      <c r="T169" s="75"/>
      <c r="U169" s="94"/>
      <c r="V169" s="74"/>
      <c r="W169" s="95"/>
      <c r="X169" s="96"/>
    </row>
    <row r="170" spans="1:24" ht="15.75" customHeight="1" x14ac:dyDescent="0.45"/>
    <row r="171" spans="1:24" ht="15" customHeight="1" x14ac:dyDescent="0.3">
      <c r="B171" s="97" t="s">
        <v>28</v>
      </c>
      <c r="C171" s="98" t="str">
        <f t="shared" ref="C171" si="266">$C$1</f>
        <v>CBT/RACK</v>
      </c>
      <c r="D171" s="75"/>
      <c r="E171" s="89" t="str">
        <f t="shared" si="249"/>
        <v>SW TOKIO</v>
      </c>
      <c r="F171" s="89"/>
      <c r="G171" s="89"/>
      <c r="H171" s="89"/>
      <c r="J171" s="97" t="s">
        <v>28</v>
      </c>
      <c r="K171" s="98" t="str">
        <f t="shared" ref="K171" si="267">$C$1</f>
        <v>CBT/RACK</v>
      </c>
      <c r="L171" s="75"/>
      <c r="M171" s="89" t="str">
        <f t="shared" ref="M171" si="268">$E$1</f>
        <v>SW TOKIO</v>
      </c>
      <c r="N171" s="89"/>
      <c r="O171" s="89"/>
      <c r="P171" s="89"/>
      <c r="R171" s="97" t="s">
        <v>28</v>
      </c>
      <c r="S171" s="98" t="str">
        <f t="shared" ref="S171" si="269">$C$1</f>
        <v>CBT/RACK</v>
      </c>
      <c r="T171" s="75"/>
      <c r="U171" s="89" t="str">
        <f t="shared" ref="U171" si="270">$E$1</f>
        <v>SW TOKIO</v>
      </c>
      <c r="V171" s="89"/>
      <c r="W171" s="89"/>
      <c r="X171" s="89"/>
    </row>
    <row r="172" spans="1:24" ht="15.75" customHeight="1" x14ac:dyDescent="0.3">
      <c r="B172" s="97"/>
      <c r="C172" s="98"/>
      <c r="D172" s="75"/>
      <c r="E172" s="89"/>
      <c r="F172" s="89"/>
      <c r="G172" s="89"/>
      <c r="H172" s="89"/>
      <c r="J172" s="97"/>
      <c r="K172" s="98"/>
      <c r="L172" s="75"/>
      <c r="M172" s="89"/>
      <c r="N172" s="89"/>
      <c r="O172" s="89"/>
      <c r="P172" s="89"/>
      <c r="R172" s="97"/>
      <c r="S172" s="98"/>
      <c r="T172" s="75"/>
      <c r="U172" s="89"/>
      <c r="V172" s="89"/>
      <c r="W172" s="89"/>
      <c r="X172" s="89"/>
    </row>
    <row r="173" spans="1:24" ht="12.75" customHeight="1" x14ac:dyDescent="0.3">
      <c r="B173" s="97"/>
      <c r="C173" s="98"/>
      <c r="D173" s="75"/>
      <c r="E173" s="90" t="s">
        <v>2</v>
      </c>
      <c r="F173" s="90"/>
      <c r="G173" s="90"/>
      <c r="H173" s="90"/>
      <c r="J173" s="97"/>
      <c r="K173" s="98"/>
      <c r="L173" s="75"/>
      <c r="M173" s="90" t="s">
        <v>2</v>
      </c>
      <c r="N173" s="90"/>
      <c r="O173" s="90"/>
      <c r="P173" s="90"/>
      <c r="R173" s="97"/>
      <c r="S173" s="98"/>
      <c r="T173" s="75"/>
      <c r="U173" s="90" t="s">
        <v>2</v>
      </c>
      <c r="V173" s="90"/>
      <c r="W173" s="90"/>
      <c r="X173" s="90"/>
    </row>
    <row r="174" spans="1:24" ht="45.6" x14ac:dyDescent="0.3">
      <c r="B174" s="97"/>
      <c r="C174" s="98"/>
      <c r="D174" s="75"/>
      <c r="E174" s="91" t="str">
        <f t="shared" ref="E174" si="271">$E$4</f>
        <v>T-8255</v>
      </c>
      <c r="F174" s="91"/>
      <c r="G174" s="91"/>
      <c r="H174" s="91"/>
      <c r="J174" s="97"/>
      <c r="K174" s="98"/>
      <c r="L174" s="75"/>
      <c r="M174" s="91" t="str">
        <f t="shared" ref="M174" si="272">$E$4</f>
        <v>T-8255</v>
      </c>
      <c r="N174" s="91"/>
      <c r="O174" s="91"/>
      <c r="P174" s="91"/>
      <c r="R174" s="97"/>
      <c r="S174" s="98"/>
      <c r="T174" s="75"/>
      <c r="U174" s="91" t="str">
        <f t="shared" ref="U174" si="273">$E$4</f>
        <v>T-8255</v>
      </c>
      <c r="V174" s="91"/>
      <c r="W174" s="91"/>
      <c r="X174" s="91"/>
    </row>
    <row r="175" spans="1:24" ht="12.75" customHeight="1" x14ac:dyDescent="0.3">
      <c r="B175" s="97"/>
      <c r="C175" s="98"/>
      <c r="D175" s="75"/>
      <c r="E175" s="90" t="s">
        <v>132</v>
      </c>
      <c r="F175" s="90"/>
      <c r="G175" s="90"/>
      <c r="H175" s="90"/>
      <c r="J175" s="97"/>
      <c r="K175" s="98"/>
      <c r="L175" s="75"/>
      <c r="M175" s="90" t="s">
        <v>132</v>
      </c>
      <c r="N175" s="90"/>
      <c r="O175" s="90"/>
      <c r="P175" s="90"/>
      <c r="R175" s="97"/>
      <c r="S175" s="98"/>
      <c r="T175" s="75"/>
      <c r="U175" s="90" t="s">
        <v>132</v>
      </c>
      <c r="V175" s="90"/>
      <c r="W175" s="90"/>
      <c r="X175" s="90"/>
    </row>
    <row r="176" spans="1:24" ht="54" customHeight="1" x14ac:dyDescent="0.3">
      <c r="B176" s="97"/>
      <c r="C176" s="98"/>
      <c r="D176" s="75"/>
      <c r="E176" s="92">
        <f t="shared" ref="E176" si="274">$E$6</f>
        <v>1286</v>
      </c>
      <c r="F176" s="92"/>
      <c r="G176" s="92"/>
      <c r="H176" s="92"/>
      <c r="J176" s="97"/>
      <c r="K176" s="98"/>
      <c r="L176" s="75"/>
      <c r="M176" s="92">
        <f t="shared" ref="M176" si="275">$E$6</f>
        <v>1286</v>
      </c>
      <c r="N176" s="92"/>
      <c r="O176" s="92"/>
      <c r="P176" s="92"/>
      <c r="R176" s="97"/>
      <c r="S176" s="98"/>
      <c r="T176" s="75"/>
      <c r="U176" s="92">
        <f t="shared" ref="U176" si="276">$E$6</f>
        <v>1286</v>
      </c>
      <c r="V176" s="92"/>
      <c r="W176" s="92"/>
      <c r="X176" s="92"/>
    </row>
    <row r="177" spans="1:24" ht="12.75" customHeight="1" x14ac:dyDescent="0.3">
      <c r="B177" s="97"/>
      <c r="C177" s="98"/>
      <c r="D177" s="75"/>
      <c r="E177" s="90" t="s">
        <v>5</v>
      </c>
      <c r="F177" s="90"/>
      <c r="G177" s="90"/>
      <c r="H177" s="90"/>
      <c r="J177" s="97"/>
      <c r="K177" s="98"/>
      <c r="L177" s="75"/>
      <c r="M177" s="90" t="s">
        <v>5</v>
      </c>
      <c r="N177" s="90"/>
      <c r="O177" s="90"/>
      <c r="P177" s="90"/>
      <c r="R177" s="97"/>
      <c r="S177" s="98"/>
      <c r="T177" s="75"/>
      <c r="U177" s="90" t="s">
        <v>5</v>
      </c>
      <c r="V177" s="90"/>
      <c r="W177" s="90"/>
      <c r="X177" s="90"/>
    </row>
    <row r="178" spans="1:24" ht="18.75" customHeight="1" x14ac:dyDescent="0.45">
      <c r="B178" s="97"/>
      <c r="C178" s="98"/>
      <c r="D178" s="75"/>
      <c r="E178" s="94" t="str">
        <f t="shared" ref="E178" si="277">$E$8</f>
        <v>TMI-7D43</v>
      </c>
      <c r="F178" s="74"/>
      <c r="G178" s="95" t="str">
        <f t="shared" ref="G178" si="278">_xlfn.CONCAT(A179,"/",$Z$4)</f>
        <v>52/24</v>
      </c>
      <c r="H178" s="96"/>
      <c r="J178" s="97"/>
      <c r="K178" s="98"/>
      <c r="L178" s="75"/>
      <c r="M178" s="94" t="str">
        <f t="shared" ref="M178" si="279">$E$8</f>
        <v>TMI-7D43</v>
      </c>
      <c r="N178" s="74"/>
      <c r="O178" s="95" t="str">
        <f t="shared" ref="O178" si="280">_xlfn.CONCAT(I179,"/",$Z$4)</f>
        <v>53/24</v>
      </c>
      <c r="P178" s="96"/>
      <c r="R178" s="97"/>
      <c r="S178" s="98"/>
      <c r="T178" s="75"/>
      <c r="U178" s="94" t="str">
        <f t="shared" ref="U178" si="281">$E$8</f>
        <v>TMI-7D43</v>
      </c>
      <c r="V178" s="74"/>
      <c r="W178" s="95" t="str">
        <f t="shared" ref="W178" si="282">_xlfn.CONCAT(Q179,"/",$Z$4)</f>
        <v>54/24</v>
      </c>
      <c r="X178" s="96"/>
    </row>
    <row r="179" spans="1:24" ht="36" customHeight="1" x14ac:dyDescent="0.45">
      <c r="A179" s="77">
        <v>52</v>
      </c>
      <c r="B179" s="97"/>
      <c r="C179" s="98"/>
      <c r="D179" s="75"/>
      <c r="E179" s="94"/>
      <c r="F179" s="74"/>
      <c r="G179" s="95"/>
      <c r="H179" s="96"/>
      <c r="I179" s="77">
        <v>53</v>
      </c>
      <c r="J179" s="97"/>
      <c r="K179" s="98"/>
      <c r="L179" s="75"/>
      <c r="M179" s="94"/>
      <c r="N179" s="74"/>
      <c r="O179" s="95"/>
      <c r="P179" s="96"/>
      <c r="Q179" s="77">
        <v>54</v>
      </c>
      <c r="R179" s="97"/>
      <c r="S179" s="98"/>
      <c r="T179" s="75"/>
      <c r="U179" s="94"/>
      <c r="V179" s="74"/>
      <c r="W179" s="95"/>
      <c r="X179" s="96"/>
    </row>
    <row r="180" spans="1:24" ht="15.75" customHeight="1" x14ac:dyDescent="0.45"/>
    <row r="181" spans="1:24" ht="15" customHeight="1" x14ac:dyDescent="0.3">
      <c r="B181" s="97" t="s">
        <v>28</v>
      </c>
      <c r="C181" s="98" t="str">
        <f t="shared" ref="C181" si="283">$C$1</f>
        <v>CBT/RACK</v>
      </c>
      <c r="D181" s="75"/>
      <c r="E181" s="89" t="str">
        <f t="shared" si="249"/>
        <v>SW TOKIO</v>
      </c>
      <c r="F181" s="89"/>
      <c r="G181" s="89"/>
      <c r="H181" s="89"/>
      <c r="J181" s="97" t="s">
        <v>28</v>
      </c>
      <c r="K181" s="98" t="str">
        <f t="shared" ref="K181" si="284">$C$1</f>
        <v>CBT/RACK</v>
      </c>
      <c r="L181" s="75"/>
      <c r="M181" s="89" t="str">
        <f t="shared" ref="M181" si="285">$E$1</f>
        <v>SW TOKIO</v>
      </c>
      <c r="N181" s="89"/>
      <c r="O181" s="89"/>
      <c r="P181" s="89"/>
      <c r="R181" s="97" t="s">
        <v>28</v>
      </c>
      <c r="S181" s="98" t="str">
        <f t="shared" ref="S181" si="286">$C$1</f>
        <v>CBT/RACK</v>
      </c>
      <c r="T181" s="75"/>
      <c r="U181" s="89" t="str">
        <f t="shared" ref="U181" si="287">$E$1</f>
        <v>SW TOKIO</v>
      </c>
      <c r="V181" s="89"/>
      <c r="W181" s="89"/>
      <c r="X181" s="89"/>
    </row>
    <row r="182" spans="1:24" ht="15.75" customHeight="1" x14ac:dyDescent="0.3">
      <c r="B182" s="97"/>
      <c r="C182" s="98"/>
      <c r="D182" s="75"/>
      <c r="E182" s="89"/>
      <c r="F182" s="89"/>
      <c r="G182" s="89"/>
      <c r="H182" s="89"/>
      <c r="J182" s="97"/>
      <c r="K182" s="98"/>
      <c r="L182" s="75"/>
      <c r="M182" s="89"/>
      <c r="N182" s="89"/>
      <c r="O182" s="89"/>
      <c r="P182" s="89"/>
      <c r="R182" s="97"/>
      <c r="S182" s="98"/>
      <c r="T182" s="75"/>
      <c r="U182" s="89"/>
      <c r="V182" s="89"/>
      <c r="W182" s="89"/>
      <c r="X182" s="89"/>
    </row>
    <row r="183" spans="1:24" ht="12.75" customHeight="1" x14ac:dyDescent="0.3">
      <c r="B183" s="97"/>
      <c r="C183" s="98"/>
      <c r="D183" s="75"/>
      <c r="E183" s="90" t="s">
        <v>2</v>
      </c>
      <c r="F183" s="90"/>
      <c r="G183" s="90"/>
      <c r="H183" s="90"/>
      <c r="J183" s="97"/>
      <c r="K183" s="98"/>
      <c r="L183" s="75"/>
      <c r="M183" s="90" t="s">
        <v>2</v>
      </c>
      <c r="N183" s="90"/>
      <c r="O183" s="90"/>
      <c r="P183" s="90"/>
      <c r="R183" s="97"/>
      <c r="S183" s="98"/>
      <c r="T183" s="75"/>
      <c r="U183" s="90" t="s">
        <v>2</v>
      </c>
      <c r="V183" s="90"/>
      <c r="W183" s="90"/>
      <c r="X183" s="90"/>
    </row>
    <row r="184" spans="1:24" ht="45.6" x14ac:dyDescent="0.3">
      <c r="B184" s="97"/>
      <c r="C184" s="98"/>
      <c r="D184" s="75"/>
      <c r="E184" s="91" t="str">
        <f t="shared" ref="E184" si="288">$E$4</f>
        <v>T-8255</v>
      </c>
      <c r="F184" s="91"/>
      <c r="G184" s="91"/>
      <c r="H184" s="91"/>
      <c r="J184" s="97"/>
      <c r="K184" s="98"/>
      <c r="L184" s="75"/>
      <c r="M184" s="91" t="str">
        <f t="shared" ref="M184" si="289">$E$4</f>
        <v>T-8255</v>
      </c>
      <c r="N184" s="91"/>
      <c r="O184" s="91"/>
      <c r="P184" s="91"/>
      <c r="R184" s="97"/>
      <c r="S184" s="98"/>
      <c r="T184" s="75"/>
      <c r="U184" s="91" t="str">
        <f t="shared" ref="U184" si="290">$E$4</f>
        <v>T-8255</v>
      </c>
      <c r="V184" s="91"/>
      <c r="W184" s="91"/>
      <c r="X184" s="91"/>
    </row>
    <row r="185" spans="1:24" ht="12.75" customHeight="1" x14ac:dyDescent="0.3">
      <c r="B185" s="97"/>
      <c r="C185" s="98"/>
      <c r="D185" s="75"/>
      <c r="E185" s="90" t="s">
        <v>132</v>
      </c>
      <c r="F185" s="90"/>
      <c r="G185" s="90"/>
      <c r="H185" s="90"/>
      <c r="J185" s="97"/>
      <c r="K185" s="98"/>
      <c r="L185" s="75"/>
      <c r="M185" s="90" t="s">
        <v>132</v>
      </c>
      <c r="N185" s="90"/>
      <c r="O185" s="90"/>
      <c r="P185" s="90"/>
      <c r="R185" s="97"/>
      <c r="S185" s="98"/>
      <c r="T185" s="75"/>
      <c r="U185" s="90" t="s">
        <v>132</v>
      </c>
      <c r="V185" s="90"/>
      <c r="W185" s="90"/>
      <c r="X185" s="90"/>
    </row>
    <row r="186" spans="1:24" ht="54" customHeight="1" x14ac:dyDescent="0.3">
      <c r="B186" s="97"/>
      <c r="C186" s="98"/>
      <c r="D186" s="75"/>
      <c r="E186" s="92">
        <f t="shared" ref="E186" si="291">$E$6</f>
        <v>1286</v>
      </c>
      <c r="F186" s="92"/>
      <c r="G186" s="92"/>
      <c r="H186" s="92"/>
      <c r="J186" s="97"/>
      <c r="K186" s="98"/>
      <c r="L186" s="75"/>
      <c r="M186" s="92">
        <f t="shared" ref="M186" si="292">$E$6</f>
        <v>1286</v>
      </c>
      <c r="N186" s="92"/>
      <c r="O186" s="92"/>
      <c r="P186" s="92"/>
      <c r="R186" s="97"/>
      <c r="S186" s="98"/>
      <c r="T186" s="75"/>
      <c r="U186" s="92">
        <f t="shared" ref="U186" si="293">$E$6</f>
        <v>1286</v>
      </c>
      <c r="V186" s="92"/>
      <c r="W186" s="92"/>
      <c r="X186" s="92"/>
    </row>
    <row r="187" spans="1:24" ht="12.75" customHeight="1" x14ac:dyDescent="0.3">
      <c r="B187" s="97"/>
      <c r="C187" s="98"/>
      <c r="D187" s="75"/>
      <c r="E187" s="90" t="s">
        <v>5</v>
      </c>
      <c r="F187" s="90"/>
      <c r="G187" s="90"/>
      <c r="H187" s="90"/>
      <c r="J187" s="97"/>
      <c r="K187" s="98"/>
      <c r="L187" s="75"/>
      <c r="M187" s="90" t="s">
        <v>5</v>
      </c>
      <c r="N187" s="90"/>
      <c r="O187" s="90"/>
      <c r="P187" s="90"/>
      <c r="R187" s="97"/>
      <c r="S187" s="98"/>
      <c r="T187" s="75"/>
      <c r="U187" s="90" t="s">
        <v>5</v>
      </c>
      <c r="V187" s="90"/>
      <c r="W187" s="90"/>
      <c r="X187" s="90"/>
    </row>
    <row r="188" spans="1:24" ht="18.75" customHeight="1" x14ac:dyDescent="0.45">
      <c r="B188" s="97"/>
      <c r="C188" s="98"/>
      <c r="D188" s="75"/>
      <c r="E188" s="94" t="str">
        <f t="shared" ref="E188" si="294">$E$8</f>
        <v>TMI-7D43</v>
      </c>
      <c r="F188" s="74"/>
      <c r="G188" s="95" t="str">
        <f t="shared" ref="G188" si="295">_xlfn.CONCAT(A189,"/",$Z$4)</f>
        <v>55/24</v>
      </c>
      <c r="H188" s="96"/>
      <c r="J188" s="97"/>
      <c r="K188" s="98"/>
      <c r="L188" s="75"/>
      <c r="M188" s="94" t="str">
        <f t="shared" ref="M188" si="296">$E$8</f>
        <v>TMI-7D43</v>
      </c>
      <c r="N188" s="74"/>
      <c r="O188" s="95" t="str">
        <f t="shared" ref="O188" si="297">_xlfn.CONCAT(I189,"/",$Z$4)</f>
        <v>56/24</v>
      </c>
      <c r="P188" s="96"/>
      <c r="R188" s="97"/>
      <c r="S188" s="98"/>
      <c r="T188" s="75"/>
      <c r="U188" s="94" t="str">
        <f t="shared" ref="U188" si="298">$E$8</f>
        <v>TMI-7D43</v>
      </c>
      <c r="V188" s="74"/>
      <c r="W188" s="95" t="str">
        <f t="shared" ref="W188" si="299">_xlfn.CONCAT(Q189,"/",$Z$4)</f>
        <v>57/24</v>
      </c>
      <c r="X188" s="96"/>
    </row>
    <row r="189" spans="1:24" ht="36" customHeight="1" x14ac:dyDescent="0.45">
      <c r="A189" s="77">
        <v>55</v>
      </c>
      <c r="B189" s="97"/>
      <c r="C189" s="98"/>
      <c r="D189" s="75"/>
      <c r="E189" s="94"/>
      <c r="F189" s="74"/>
      <c r="G189" s="95"/>
      <c r="H189" s="96"/>
      <c r="I189" s="77">
        <v>56</v>
      </c>
      <c r="J189" s="97"/>
      <c r="K189" s="98"/>
      <c r="L189" s="75"/>
      <c r="M189" s="94"/>
      <c r="N189" s="74"/>
      <c r="O189" s="95"/>
      <c r="P189" s="96"/>
      <c r="Q189" s="77">
        <v>57</v>
      </c>
      <c r="R189" s="97"/>
      <c r="S189" s="98"/>
      <c r="T189" s="75"/>
      <c r="U189" s="94"/>
      <c r="V189" s="74"/>
      <c r="W189" s="95"/>
      <c r="X189" s="96"/>
    </row>
  </sheetData>
  <mergeCells count="572">
    <mergeCell ref="J1:J9"/>
    <mergeCell ref="K1:K9"/>
    <mergeCell ref="R1:R9"/>
    <mergeCell ref="S1:S9"/>
    <mergeCell ref="B1:B9"/>
    <mergeCell ref="C1:C9"/>
    <mergeCell ref="M16:P16"/>
    <mergeCell ref="M17:P17"/>
    <mergeCell ref="B11:B19"/>
    <mergeCell ref="C11:C19"/>
    <mergeCell ref="E8:E9"/>
    <mergeCell ref="G8:H9"/>
    <mergeCell ref="M8:M9"/>
    <mergeCell ref="O8:P9"/>
    <mergeCell ref="J11:J19"/>
    <mergeCell ref="M11:P12"/>
    <mergeCell ref="M13:P13"/>
    <mergeCell ref="M14:P14"/>
    <mergeCell ref="M6:P6"/>
    <mergeCell ref="M7:P7"/>
    <mergeCell ref="M1:P2"/>
    <mergeCell ref="K11:K19"/>
    <mergeCell ref="B31:B39"/>
    <mergeCell ref="C31:C39"/>
    <mergeCell ref="E28:E29"/>
    <mergeCell ref="G28:H29"/>
    <mergeCell ref="M28:M29"/>
    <mergeCell ref="O28:P29"/>
    <mergeCell ref="U28:U29"/>
    <mergeCell ref="W28:X29"/>
    <mergeCell ref="E21:H22"/>
    <mergeCell ref="K21:K29"/>
    <mergeCell ref="R21:R29"/>
    <mergeCell ref="S21:S29"/>
    <mergeCell ref="B21:B29"/>
    <mergeCell ref="C21:C29"/>
    <mergeCell ref="E23:H23"/>
    <mergeCell ref="E24:H24"/>
    <mergeCell ref="E25:H25"/>
    <mergeCell ref="E26:H26"/>
    <mergeCell ref="E38:E39"/>
    <mergeCell ref="G38:H39"/>
    <mergeCell ref="M38:M39"/>
    <mergeCell ref="O38:P39"/>
    <mergeCell ref="U38:U39"/>
    <mergeCell ref="W38:X39"/>
    <mergeCell ref="E37:H37"/>
    <mergeCell ref="K31:K39"/>
    <mergeCell ref="R31:R39"/>
    <mergeCell ref="S31:S39"/>
    <mergeCell ref="W48:X49"/>
    <mergeCell ref="E41:H42"/>
    <mergeCell ref="K41:K49"/>
    <mergeCell ref="R41:R49"/>
    <mergeCell ref="S41:S49"/>
    <mergeCell ref="U48:U49"/>
    <mergeCell ref="E36:H36"/>
    <mergeCell ref="J31:J39"/>
    <mergeCell ref="M31:P32"/>
    <mergeCell ref="M33:P33"/>
    <mergeCell ref="M34:P34"/>
    <mergeCell ref="M35:P35"/>
    <mergeCell ref="M36:P36"/>
    <mergeCell ref="M37:P37"/>
    <mergeCell ref="U41:X42"/>
    <mergeCell ref="U43:X43"/>
    <mergeCell ref="U44:X44"/>
    <mergeCell ref="U45:X45"/>
    <mergeCell ref="U46:X46"/>
    <mergeCell ref="U47:X47"/>
    <mergeCell ref="B41:B49"/>
    <mergeCell ref="C41:C49"/>
    <mergeCell ref="E43:H43"/>
    <mergeCell ref="E44:H44"/>
    <mergeCell ref="E45:H45"/>
    <mergeCell ref="E46:H46"/>
    <mergeCell ref="R51:R59"/>
    <mergeCell ref="S51:S59"/>
    <mergeCell ref="B51:B59"/>
    <mergeCell ref="C51:C59"/>
    <mergeCell ref="E48:E49"/>
    <mergeCell ref="G48:H49"/>
    <mergeCell ref="M48:M49"/>
    <mergeCell ref="O48:P49"/>
    <mergeCell ref="J41:J49"/>
    <mergeCell ref="M41:P42"/>
    <mergeCell ref="M43:P43"/>
    <mergeCell ref="M44:P44"/>
    <mergeCell ref="M45:P45"/>
    <mergeCell ref="M46:P46"/>
    <mergeCell ref="M47:P47"/>
    <mergeCell ref="O58:P59"/>
    <mergeCell ref="K51:K59"/>
    <mergeCell ref="B71:B79"/>
    <mergeCell ref="C71:C79"/>
    <mergeCell ref="E68:E69"/>
    <mergeCell ref="G68:H69"/>
    <mergeCell ref="M68:M69"/>
    <mergeCell ref="O68:P69"/>
    <mergeCell ref="U68:U69"/>
    <mergeCell ref="W68:X69"/>
    <mergeCell ref="E61:H62"/>
    <mergeCell ref="K61:K69"/>
    <mergeCell ref="R61:R69"/>
    <mergeCell ref="S61:S69"/>
    <mergeCell ref="B61:B69"/>
    <mergeCell ref="C61:C69"/>
    <mergeCell ref="E63:H63"/>
    <mergeCell ref="E64:H64"/>
    <mergeCell ref="E65:H65"/>
    <mergeCell ref="E66:H66"/>
    <mergeCell ref="E78:E79"/>
    <mergeCell ref="G78:H79"/>
    <mergeCell ref="M78:M79"/>
    <mergeCell ref="O78:P79"/>
    <mergeCell ref="U78:U79"/>
    <mergeCell ref="W78:X79"/>
    <mergeCell ref="E77:H77"/>
    <mergeCell ref="K71:K79"/>
    <mergeCell ref="R71:R79"/>
    <mergeCell ref="S71:S79"/>
    <mergeCell ref="W88:X89"/>
    <mergeCell ref="E81:H82"/>
    <mergeCell ref="K81:K89"/>
    <mergeCell ref="R81:R89"/>
    <mergeCell ref="S81:S89"/>
    <mergeCell ref="U88:U89"/>
    <mergeCell ref="M81:P82"/>
    <mergeCell ref="M83:P83"/>
    <mergeCell ref="M84:P84"/>
    <mergeCell ref="M85:P85"/>
    <mergeCell ref="M86:P86"/>
    <mergeCell ref="M87:P87"/>
    <mergeCell ref="J71:J79"/>
    <mergeCell ref="M71:P72"/>
    <mergeCell ref="M73:P73"/>
    <mergeCell ref="M74:P74"/>
    <mergeCell ref="M75:P75"/>
    <mergeCell ref="M76:P76"/>
    <mergeCell ref="M77:P77"/>
    <mergeCell ref="U81:X82"/>
    <mergeCell ref="B81:B89"/>
    <mergeCell ref="C81:C89"/>
    <mergeCell ref="E83:H83"/>
    <mergeCell ref="E84:H84"/>
    <mergeCell ref="E85:H85"/>
    <mergeCell ref="E86:H86"/>
    <mergeCell ref="R91:R99"/>
    <mergeCell ref="S91:S99"/>
    <mergeCell ref="B91:B99"/>
    <mergeCell ref="C91:C99"/>
    <mergeCell ref="E88:E89"/>
    <mergeCell ref="G88:H89"/>
    <mergeCell ref="M88:M89"/>
    <mergeCell ref="O88:P89"/>
    <mergeCell ref="E87:H87"/>
    <mergeCell ref="E91:H92"/>
    <mergeCell ref="E93:H93"/>
    <mergeCell ref="E94:H94"/>
    <mergeCell ref="E95:H95"/>
    <mergeCell ref="E96:H96"/>
    <mergeCell ref="E98:E99"/>
    <mergeCell ref="G98:H99"/>
    <mergeCell ref="E97:H97"/>
    <mergeCell ref="J81:J89"/>
    <mergeCell ref="E101:H102"/>
    <mergeCell ref="K101:K109"/>
    <mergeCell ref="R101:R109"/>
    <mergeCell ref="S101:S109"/>
    <mergeCell ref="B101:B109"/>
    <mergeCell ref="C101:C109"/>
    <mergeCell ref="E103:H103"/>
    <mergeCell ref="E104:H104"/>
    <mergeCell ref="E105:H105"/>
    <mergeCell ref="E106:H106"/>
    <mergeCell ref="E107:H107"/>
    <mergeCell ref="R111:R119"/>
    <mergeCell ref="S111:S119"/>
    <mergeCell ref="B111:B119"/>
    <mergeCell ref="C111:C119"/>
    <mergeCell ref="E108:E109"/>
    <mergeCell ref="G108:H109"/>
    <mergeCell ref="M108:M109"/>
    <mergeCell ref="O108:P109"/>
    <mergeCell ref="U108:U109"/>
    <mergeCell ref="E111:H112"/>
    <mergeCell ref="E113:H113"/>
    <mergeCell ref="E114:H114"/>
    <mergeCell ref="E115:H115"/>
    <mergeCell ref="E116:H116"/>
    <mergeCell ref="E118:E119"/>
    <mergeCell ref="G118:H119"/>
    <mergeCell ref="E117:H117"/>
    <mergeCell ref="J101:J109"/>
    <mergeCell ref="M101:P102"/>
    <mergeCell ref="M103:P103"/>
    <mergeCell ref="M104:P104"/>
    <mergeCell ref="M105:P105"/>
    <mergeCell ref="M106:P106"/>
    <mergeCell ref="M107:P107"/>
    <mergeCell ref="B131:B139"/>
    <mergeCell ref="C131:C139"/>
    <mergeCell ref="E128:E129"/>
    <mergeCell ref="G128:H129"/>
    <mergeCell ref="M128:M129"/>
    <mergeCell ref="O128:P129"/>
    <mergeCell ref="U128:U129"/>
    <mergeCell ref="W128:X129"/>
    <mergeCell ref="E121:H122"/>
    <mergeCell ref="K121:K129"/>
    <mergeCell ref="R121:R129"/>
    <mergeCell ref="S121:S129"/>
    <mergeCell ref="B121:B129"/>
    <mergeCell ref="C121:C129"/>
    <mergeCell ref="E123:H123"/>
    <mergeCell ref="E124:H124"/>
    <mergeCell ref="E125:H125"/>
    <mergeCell ref="E126:H126"/>
    <mergeCell ref="E138:E139"/>
    <mergeCell ref="G138:H139"/>
    <mergeCell ref="M138:M139"/>
    <mergeCell ref="O138:P139"/>
    <mergeCell ref="U138:U139"/>
    <mergeCell ref="W138:X139"/>
    <mergeCell ref="K131:K139"/>
    <mergeCell ref="R131:R139"/>
    <mergeCell ref="S131:S139"/>
    <mergeCell ref="U148:U149"/>
    <mergeCell ref="W148:X149"/>
    <mergeCell ref="E141:H142"/>
    <mergeCell ref="K141:K149"/>
    <mergeCell ref="R141:R149"/>
    <mergeCell ref="S141:S149"/>
    <mergeCell ref="E135:H135"/>
    <mergeCell ref="E136:H136"/>
    <mergeCell ref="J131:J139"/>
    <mergeCell ref="M131:P132"/>
    <mergeCell ref="M133:P133"/>
    <mergeCell ref="M134:P134"/>
    <mergeCell ref="M135:P135"/>
    <mergeCell ref="M136:P136"/>
    <mergeCell ref="M137:P137"/>
    <mergeCell ref="U141:X142"/>
    <mergeCell ref="U143:X143"/>
    <mergeCell ref="U144:X144"/>
    <mergeCell ref="U145:X145"/>
    <mergeCell ref="U146:X146"/>
    <mergeCell ref="U147:X147"/>
    <mergeCell ref="B141:B149"/>
    <mergeCell ref="C141:C149"/>
    <mergeCell ref="E143:H143"/>
    <mergeCell ref="E144:H144"/>
    <mergeCell ref="E145:H145"/>
    <mergeCell ref="E146:H146"/>
    <mergeCell ref="E157:H157"/>
    <mergeCell ref="K151:K159"/>
    <mergeCell ref="R151:R159"/>
    <mergeCell ref="M145:P145"/>
    <mergeCell ref="M146:P146"/>
    <mergeCell ref="M147:P147"/>
    <mergeCell ref="S151:S159"/>
    <mergeCell ref="B151:B159"/>
    <mergeCell ref="C151:C159"/>
    <mergeCell ref="E148:E149"/>
    <mergeCell ref="G148:H149"/>
    <mergeCell ref="M148:M149"/>
    <mergeCell ref="O148:P149"/>
    <mergeCell ref="B161:B169"/>
    <mergeCell ref="C161:C169"/>
    <mergeCell ref="E163:H163"/>
    <mergeCell ref="E164:H164"/>
    <mergeCell ref="E165:H165"/>
    <mergeCell ref="E166:H166"/>
    <mergeCell ref="E158:E159"/>
    <mergeCell ref="G158:H159"/>
    <mergeCell ref="M158:M159"/>
    <mergeCell ref="E168:E169"/>
    <mergeCell ref="G168:H169"/>
    <mergeCell ref="M168:M169"/>
    <mergeCell ref="O168:P169"/>
    <mergeCell ref="J141:J149"/>
    <mergeCell ref="M141:P142"/>
    <mergeCell ref="M143:P143"/>
    <mergeCell ref="M144:P144"/>
    <mergeCell ref="U168:U169"/>
    <mergeCell ref="W168:X169"/>
    <mergeCell ref="E161:H162"/>
    <mergeCell ref="K161:K169"/>
    <mergeCell ref="R161:R169"/>
    <mergeCell ref="S161:S169"/>
    <mergeCell ref="B181:B189"/>
    <mergeCell ref="C181:C189"/>
    <mergeCell ref="E183:H183"/>
    <mergeCell ref="E184:H184"/>
    <mergeCell ref="E185:H185"/>
    <mergeCell ref="E186:H186"/>
    <mergeCell ref="E178:E179"/>
    <mergeCell ref="G178:H179"/>
    <mergeCell ref="M178:M179"/>
    <mergeCell ref="K171:K179"/>
    <mergeCell ref="B171:B179"/>
    <mergeCell ref="C171:C179"/>
    <mergeCell ref="E187:H187"/>
    <mergeCell ref="E167:H167"/>
    <mergeCell ref="E171:H172"/>
    <mergeCell ref="E173:H173"/>
    <mergeCell ref="E174:H174"/>
    <mergeCell ref="E175:H175"/>
    <mergeCell ref="Z1:AA2"/>
    <mergeCell ref="Z4:AA4"/>
    <mergeCell ref="E1:H2"/>
    <mergeCell ref="E3:H3"/>
    <mergeCell ref="E4:H4"/>
    <mergeCell ref="E5:H5"/>
    <mergeCell ref="E6:H6"/>
    <mergeCell ref="E7:H7"/>
    <mergeCell ref="E188:E189"/>
    <mergeCell ref="G188:H189"/>
    <mergeCell ref="M188:M189"/>
    <mergeCell ref="O188:P189"/>
    <mergeCell ref="U188:U189"/>
    <mergeCell ref="W188:X189"/>
    <mergeCell ref="E181:H182"/>
    <mergeCell ref="K181:K189"/>
    <mergeCell ref="R181:R189"/>
    <mergeCell ref="S181:S189"/>
    <mergeCell ref="O178:P179"/>
    <mergeCell ref="U178:U179"/>
    <mergeCell ref="W178:X179"/>
    <mergeCell ref="E177:H177"/>
    <mergeCell ref="R171:R179"/>
    <mergeCell ref="S171:S179"/>
    <mergeCell ref="U1:X2"/>
    <mergeCell ref="M3:P3"/>
    <mergeCell ref="U3:X3"/>
    <mergeCell ref="M4:P4"/>
    <mergeCell ref="U4:X4"/>
    <mergeCell ref="M5:P5"/>
    <mergeCell ref="U5:X5"/>
    <mergeCell ref="M18:M19"/>
    <mergeCell ref="O18:P19"/>
    <mergeCell ref="U18:U19"/>
    <mergeCell ref="W18:X19"/>
    <mergeCell ref="W8:X9"/>
    <mergeCell ref="U8:U9"/>
    <mergeCell ref="U6:X6"/>
    <mergeCell ref="U7:X7"/>
    <mergeCell ref="R11:R19"/>
    <mergeCell ref="S11:S19"/>
    <mergeCell ref="M15:P15"/>
    <mergeCell ref="E27:H27"/>
    <mergeCell ref="E31:H32"/>
    <mergeCell ref="E33:H33"/>
    <mergeCell ref="E34:H34"/>
    <mergeCell ref="E35:H35"/>
    <mergeCell ref="E11:H12"/>
    <mergeCell ref="E13:H13"/>
    <mergeCell ref="E14:H14"/>
    <mergeCell ref="E15:H15"/>
    <mergeCell ref="E16:H16"/>
    <mergeCell ref="E18:E19"/>
    <mergeCell ref="G18:H19"/>
    <mergeCell ref="E17:H17"/>
    <mergeCell ref="J21:J29"/>
    <mergeCell ref="M21:P22"/>
    <mergeCell ref="M23:P23"/>
    <mergeCell ref="M24:P24"/>
    <mergeCell ref="M25:P25"/>
    <mergeCell ref="M26:P26"/>
    <mergeCell ref="M27:P27"/>
    <mergeCell ref="E67:H67"/>
    <mergeCell ref="E71:H72"/>
    <mergeCell ref="J61:J69"/>
    <mergeCell ref="M61:P62"/>
    <mergeCell ref="M63:P63"/>
    <mergeCell ref="M64:P64"/>
    <mergeCell ref="M65:P65"/>
    <mergeCell ref="M66:P66"/>
    <mergeCell ref="M67:P67"/>
    <mergeCell ref="J51:J59"/>
    <mergeCell ref="M51:P52"/>
    <mergeCell ref="M53:P53"/>
    <mergeCell ref="M54:P54"/>
    <mergeCell ref="M55:P55"/>
    <mergeCell ref="M56:P56"/>
    <mergeCell ref="M57:P57"/>
    <mergeCell ref="M58:M59"/>
    <mergeCell ref="E73:H73"/>
    <mergeCell ref="E74:H74"/>
    <mergeCell ref="E75:H75"/>
    <mergeCell ref="E76:H76"/>
    <mergeCell ref="E47:H47"/>
    <mergeCell ref="E51:H52"/>
    <mergeCell ref="E53:H53"/>
    <mergeCell ref="E54:H54"/>
    <mergeCell ref="E55:H55"/>
    <mergeCell ref="E56:H56"/>
    <mergeCell ref="E58:E59"/>
    <mergeCell ref="G58:H59"/>
    <mergeCell ref="E57:H57"/>
    <mergeCell ref="E176:H176"/>
    <mergeCell ref="E147:H147"/>
    <mergeCell ref="E151:H152"/>
    <mergeCell ref="E153:H153"/>
    <mergeCell ref="E154:H154"/>
    <mergeCell ref="E155:H155"/>
    <mergeCell ref="E156:H156"/>
    <mergeCell ref="E127:H127"/>
    <mergeCell ref="E131:H132"/>
    <mergeCell ref="E133:H133"/>
    <mergeCell ref="E134:H134"/>
    <mergeCell ref="E137:H137"/>
    <mergeCell ref="J91:J99"/>
    <mergeCell ref="M91:P92"/>
    <mergeCell ref="M93:P93"/>
    <mergeCell ref="M94:P94"/>
    <mergeCell ref="M95:P95"/>
    <mergeCell ref="M96:P96"/>
    <mergeCell ref="M97:P97"/>
    <mergeCell ref="M98:M99"/>
    <mergeCell ref="O98:P99"/>
    <mergeCell ref="K91:K99"/>
    <mergeCell ref="J121:J129"/>
    <mergeCell ref="M121:P122"/>
    <mergeCell ref="M123:P123"/>
    <mergeCell ref="M124:P124"/>
    <mergeCell ref="M125:P125"/>
    <mergeCell ref="M126:P126"/>
    <mergeCell ref="M127:P127"/>
    <mergeCell ref="J111:J119"/>
    <mergeCell ref="M111:P112"/>
    <mergeCell ref="M113:P113"/>
    <mergeCell ref="M114:P114"/>
    <mergeCell ref="M115:P115"/>
    <mergeCell ref="M116:P116"/>
    <mergeCell ref="M117:P117"/>
    <mergeCell ref="M118:M119"/>
    <mergeCell ref="O118:P119"/>
    <mergeCell ref="K111:K119"/>
    <mergeCell ref="J161:J169"/>
    <mergeCell ref="M161:P162"/>
    <mergeCell ref="M163:P163"/>
    <mergeCell ref="M164:P164"/>
    <mergeCell ref="M165:P165"/>
    <mergeCell ref="M166:P166"/>
    <mergeCell ref="M167:P167"/>
    <mergeCell ref="J151:J159"/>
    <mergeCell ref="M151:P152"/>
    <mergeCell ref="M153:P153"/>
    <mergeCell ref="M154:P154"/>
    <mergeCell ref="M155:P155"/>
    <mergeCell ref="M156:P156"/>
    <mergeCell ref="M157:P157"/>
    <mergeCell ref="O158:P159"/>
    <mergeCell ref="J181:J189"/>
    <mergeCell ref="M181:P182"/>
    <mergeCell ref="M183:P183"/>
    <mergeCell ref="M184:P184"/>
    <mergeCell ref="M185:P185"/>
    <mergeCell ref="M186:P186"/>
    <mergeCell ref="M187:P187"/>
    <mergeCell ref="J171:J179"/>
    <mergeCell ref="M171:P172"/>
    <mergeCell ref="M173:P173"/>
    <mergeCell ref="M174:P174"/>
    <mergeCell ref="M175:P175"/>
    <mergeCell ref="M176:P176"/>
    <mergeCell ref="M177:P177"/>
    <mergeCell ref="U21:X22"/>
    <mergeCell ref="U23:X23"/>
    <mergeCell ref="U24:X24"/>
    <mergeCell ref="U25:X25"/>
    <mergeCell ref="U26:X26"/>
    <mergeCell ref="U27:X27"/>
    <mergeCell ref="U11:X12"/>
    <mergeCell ref="U13:X13"/>
    <mergeCell ref="U14:X14"/>
    <mergeCell ref="U15:X15"/>
    <mergeCell ref="U16:X16"/>
    <mergeCell ref="U17:X17"/>
    <mergeCell ref="U31:X32"/>
    <mergeCell ref="U33:X33"/>
    <mergeCell ref="U34:X34"/>
    <mergeCell ref="U35:X35"/>
    <mergeCell ref="U36:X36"/>
    <mergeCell ref="U37:X37"/>
    <mergeCell ref="U61:X62"/>
    <mergeCell ref="U63:X63"/>
    <mergeCell ref="U64:X64"/>
    <mergeCell ref="U65:X65"/>
    <mergeCell ref="U66:X66"/>
    <mergeCell ref="U67:X67"/>
    <mergeCell ref="U51:X52"/>
    <mergeCell ref="U53:X53"/>
    <mergeCell ref="U54:X54"/>
    <mergeCell ref="U55:X55"/>
    <mergeCell ref="U56:X56"/>
    <mergeCell ref="U57:X57"/>
    <mergeCell ref="U58:U59"/>
    <mergeCell ref="W58:X59"/>
    <mergeCell ref="U83:X83"/>
    <mergeCell ref="U84:X84"/>
    <mergeCell ref="U85:X85"/>
    <mergeCell ref="U86:X86"/>
    <mergeCell ref="U87:X87"/>
    <mergeCell ref="U71:X72"/>
    <mergeCell ref="U73:X73"/>
    <mergeCell ref="U74:X74"/>
    <mergeCell ref="U75:X75"/>
    <mergeCell ref="U76:X76"/>
    <mergeCell ref="U77:X77"/>
    <mergeCell ref="U91:X92"/>
    <mergeCell ref="U93:X93"/>
    <mergeCell ref="U94:X94"/>
    <mergeCell ref="U95:X95"/>
    <mergeCell ref="U96:X96"/>
    <mergeCell ref="U97:X97"/>
    <mergeCell ref="U98:U99"/>
    <mergeCell ref="W98:X99"/>
    <mergeCell ref="U121:X122"/>
    <mergeCell ref="W108:X109"/>
    <mergeCell ref="U101:X102"/>
    <mergeCell ref="U103:X103"/>
    <mergeCell ref="U104:X104"/>
    <mergeCell ref="U105:X105"/>
    <mergeCell ref="U106:X106"/>
    <mergeCell ref="U107:X107"/>
    <mergeCell ref="U123:X123"/>
    <mergeCell ref="U124:X124"/>
    <mergeCell ref="U125:X125"/>
    <mergeCell ref="U126:X126"/>
    <mergeCell ref="U127:X127"/>
    <mergeCell ref="U111:X112"/>
    <mergeCell ref="U113:X113"/>
    <mergeCell ref="U114:X114"/>
    <mergeCell ref="U115:X115"/>
    <mergeCell ref="U116:X116"/>
    <mergeCell ref="U117:X117"/>
    <mergeCell ref="U118:U119"/>
    <mergeCell ref="W118:X119"/>
    <mergeCell ref="U131:X132"/>
    <mergeCell ref="U133:X133"/>
    <mergeCell ref="U134:X134"/>
    <mergeCell ref="U135:X135"/>
    <mergeCell ref="U136:X136"/>
    <mergeCell ref="U137:X137"/>
    <mergeCell ref="U161:X162"/>
    <mergeCell ref="U163:X163"/>
    <mergeCell ref="U164:X164"/>
    <mergeCell ref="U165:X165"/>
    <mergeCell ref="U166:X166"/>
    <mergeCell ref="U167:X167"/>
    <mergeCell ref="U151:X152"/>
    <mergeCell ref="U153:X153"/>
    <mergeCell ref="U154:X154"/>
    <mergeCell ref="U155:X155"/>
    <mergeCell ref="U156:X156"/>
    <mergeCell ref="U157:X157"/>
    <mergeCell ref="U158:U159"/>
    <mergeCell ref="W158:X159"/>
    <mergeCell ref="U181:X182"/>
    <mergeCell ref="U183:X183"/>
    <mergeCell ref="U184:X184"/>
    <mergeCell ref="U185:X185"/>
    <mergeCell ref="U186:X186"/>
    <mergeCell ref="U187:X187"/>
    <mergeCell ref="U171:X172"/>
    <mergeCell ref="U173:X173"/>
    <mergeCell ref="U174:X174"/>
    <mergeCell ref="U175:X175"/>
    <mergeCell ref="U176:X176"/>
    <mergeCell ref="U177:X177"/>
  </mergeCells>
  <phoneticPr fontId="6" type="noConversion"/>
  <pageMargins left="0" right="0" top="0.19685039370078741" bottom="0" header="0" footer="0"/>
  <pageSetup paperSize="9" scale="9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E241-0F8B-4ED5-9619-0F23EA098D48}">
  <dimension ref="A1:B16"/>
  <sheetViews>
    <sheetView workbookViewId="0">
      <selection activeCell="A17" sqref="A17"/>
    </sheetView>
  </sheetViews>
  <sheetFormatPr defaultRowHeight="13.2" x14ac:dyDescent="0.25"/>
  <cols>
    <col min="2" max="2" width="14.5546875" bestFit="1" customWidth="1"/>
  </cols>
  <sheetData>
    <row r="1" spans="1:2" ht="14.4" x14ac:dyDescent="0.3">
      <c r="A1" t="s">
        <v>131</v>
      </c>
      <c r="B1" s="72" t="s">
        <v>120</v>
      </c>
    </row>
    <row r="2" spans="1:2" x14ac:dyDescent="0.25">
      <c r="A2" t="s">
        <v>19</v>
      </c>
      <c r="B2" t="s">
        <v>135</v>
      </c>
    </row>
    <row r="3" spans="1:2" x14ac:dyDescent="0.25">
      <c r="A3" t="s">
        <v>123</v>
      </c>
      <c r="B3" t="s">
        <v>136</v>
      </c>
    </row>
    <row r="4" spans="1:2" x14ac:dyDescent="0.25">
      <c r="A4" t="s">
        <v>20</v>
      </c>
      <c r="B4" s="76" t="s">
        <v>134</v>
      </c>
    </row>
    <row r="5" spans="1:2" x14ac:dyDescent="0.25">
      <c r="A5" t="s">
        <v>124</v>
      </c>
      <c r="B5" t="s">
        <v>137</v>
      </c>
    </row>
    <row r="6" spans="1:2" x14ac:dyDescent="0.25">
      <c r="A6" t="s">
        <v>18</v>
      </c>
      <c r="B6" s="76" t="s">
        <v>148</v>
      </c>
    </row>
    <row r="7" spans="1:2" x14ac:dyDescent="0.25">
      <c r="A7" t="s">
        <v>125</v>
      </c>
      <c r="B7" t="s">
        <v>138</v>
      </c>
    </row>
    <row r="8" spans="1:2" x14ac:dyDescent="0.25">
      <c r="A8" t="s">
        <v>126</v>
      </c>
      <c r="B8" t="s">
        <v>139</v>
      </c>
    </row>
    <row r="9" spans="1:2" x14ac:dyDescent="0.25">
      <c r="A9" t="s">
        <v>127</v>
      </c>
      <c r="B9" t="s">
        <v>140</v>
      </c>
    </row>
    <row r="10" spans="1:2" x14ac:dyDescent="0.25">
      <c r="A10" t="s">
        <v>128</v>
      </c>
      <c r="B10" t="s">
        <v>141</v>
      </c>
    </row>
    <row r="11" spans="1:2" x14ac:dyDescent="0.25">
      <c r="A11" t="s">
        <v>21</v>
      </c>
      <c r="B11" t="s">
        <v>142</v>
      </c>
    </row>
    <row r="12" spans="1:2" x14ac:dyDescent="0.25">
      <c r="A12" t="s">
        <v>129</v>
      </c>
      <c r="B12" t="s">
        <v>143</v>
      </c>
    </row>
    <row r="13" spans="1:2" x14ac:dyDescent="0.25">
      <c r="A13" t="s">
        <v>121</v>
      </c>
      <c r="B13" t="s">
        <v>144</v>
      </c>
    </row>
    <row r="14" spans="1:2" x14ac:dyDescent="0.25">
      <c r="A14" t="s">
        <v>130</v>
      </c>
      <c r="B14" t="s">
        <v>145</v>
      </c>
    </row>
    <row r="15" spans="1:2" x14ac:dyDescent="0.25">
      <c r="A15" t="s">
        <v>122</v>
      </c>
      <c r="B15" t="s">
        <v>146</v>
      </c>
    </row>
    <row r="16" spans="1:2" x14ac:dyDescent="0.25">
      <c r="A16" s="76" t="s">
        <v>149</v>
      </c>
      <c r="B16" t="s">
        <v>147</v>
      </c>
    </row>
  </sheetData>
  <pageMargins left="0.511811024" right="0.511811024" top="0.78740157499999996" bottom="0.78740157499999996" header="0.31496062000000002" footer="0.31496062000000002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3</vt:i4>
      </vt:variant>
    </vt:vector>
  </HeadingPairs>
  <TitlesOfParts>
    <vt:vector size="9" baseType="lpstr">
      <vt:lpstr>MAPA DE EMBARQUE</vt:lpstr>
      <vt:lpstr>MAPA2 </vt:lpstr>
      <vt:lpstr>Plan4</vt:lpstr>
      <vt:lpstr>Planilha4</vt:lpstr>
      <vt:lpstr>IMPRESSÃO</vt:lpstr>
      <vt:lpstr>Planilha3</vt:lpstr>
      <vt:lpstr>IMPRESSÃO!Area_de_impressao</vt:lpstr>
      <vt:lpstr>'MAPA DE EMBARQUE'!Area_de_impressao</vt:lpstr>
      <vt:lpstr>'MAPA2 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Eduardo da Silva Gonçalves</cp:lastModifiedBy>
  <cp:lastPrinted>2025-11-03T05:23:00Z</cp:lastPrinted>
  <dcterms:created xsi:type="dcterms:W3CDTF">2007-11-09T11:11:01Z</dcterms:created>
  <dcterms:modified xsi:type="dcterms:W3CDTF">2025-11-05T13:28:55Z</dcterms:modified>
</cp:coreProperties>
</file>