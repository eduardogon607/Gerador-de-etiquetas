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goncalves\Downloads\"/>
    </mc:Choice>
  </mc:AlternateContent>
  <xr:revisionPtr revIDLastSave="0" documentId="8_{AD670F5A-5A64-48F5-98E7-C0368E5F06CA}" xr6:coauthVersionLast="47" xr6:coauthVersionMax="47" xr10:uidLastSave="{00000000-0000-0000-0000-000000000000}"/>
  <bookViews>
    <workbookView xWindow="-108" yWindow="-108" windowWidth="23256" windowHeight="12456" xr2:uid="{4E6C7729-4B51-4EE6-BBC9-89C64B8059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</calcChain>
</file>

<file path=xl/sharedStrings.xml><?xml version="1.0" encoding="utf-8"?>
<sst xmlns="http://schemas.openxmlformats.org/spreadsheetml/2006/main" count="178" uniqueCount="91">
  <si>
    <t>DATA</t>
  </si>
  <si>
    <t>MÊS</t>
  </si>
  <si>
    <t>POSIÇÃO</t>
  </si>
  <si>
    <t>EMPRESA</t>
  </si>
  <si>
    <t>TIPO</t>
  </si>
  <si>
    <t>PLACAS</t>
  </si>
  <si>
    <t>MDF/DANFE</t>
  </si>
  <si>
    <t>QDE</t>
  </si>
  <si>
    <t>PRODUTO</t>
  </si>
  <si>
    <t>PESO</t>
  </si>
  <si>
    <t xml:space="preserve">VALOR AVERBADO </t>
  </si>
  <si>
    <t>CHEGADA</t>
  </si>
  <si>
    <t>DATA DESCARGA</t>
  </si>
  <si>
    <t>STATUS</t>
  </si>
  <si>
    <t>COMERCIAL</t>
  </si>
  <si>
    <t>COMBITRANS / LSL</t>
  </si>
  <si>
    <t>RACK</t>
  </si>
  <si>
    <t>MOK-6696</t>
  </si>
  <si>
    <t>3250 / MTO: 2160</t>
  </si>
  <si>
    <t>RACK / BEL</t>
  </si>
  <si>
    <t>EMBARCADO Y-6349</t>
  </si>
  <si>
    <t>COMBITRANS</t>
  </si>
  <si>
    <t>DPB-2192</t>
  </si>
  <si>
    <t>3251 / MTO: 2161</t>
  </si>
  <si>
    <r>
      <rPr>
        <b/>
        <sz val="10"/>
        <color rgb="FF000000"/>
        <rFont val="Arial"/>
      </rPr>
      <t xml:space="preserve">GON-2A51 / </t>
    </r>
    <r>
      <rPr>
        <sz val="10"/>
        <color rgb="FF000000"/>
        <rFont val="Arial"/>
      </rPr>
      <t>BWC-3J85</t>
    </r>
  </si>
  <si>
    <t>2242 / MTO: 15434</t>
  </si>
  <si>
    <t>RACK / SIF</t>
  </si>
  <si>
    <t>LIBERADO</t>
  </si>
  <si>
    <t>PEÇA</t>
  </si>
  <si>
    <r>
      <rPr>
        <b/>
        <sz val="10"/>
        <color rgb="FF000000"/>
        <rFont val="Arial"/>
        <family val="2"/>
      </rPr>
      <t xml:space="preserve">OGT-7B36 / </t>
    </r>
    <r>
      <rPr>
        <sz val="10"/>
        <color rgb="FF000000"/>
        <rFont val="Arial"/>
        <family val="2"/>
      </rPr>
      <t>RBW-3A37</t>
    </r>
  </si>
  <si>
    <t>PEÇA / SBC</t>
  </si>
  <si>
    <t>SIKA</t>
  </si>
  <si>
    <t>DIVERSOS</t>
  </si>
  <si>
    <r>
      <t xml:space="preserve">MCV-4D08 / </t>
    </r>
    <r>
      <rPr>
        <sz val="10"/>
        <color rgb="FF000000"/>
        <rFont val="Arial"/>
        <family val="2"/>
      </rPr>
      <t>PQP-8A75</t>
    </r>
  </si>
  <si>
    <t>12 PALETES</t>
  </si>
  <si>
    <t>ARGAMASSA</t>
  </si>
  <si>
    <t>SALES</t>
  </si>
  <si>
    <t>DH COMERCIO</t>
  </si>
  <si>
    <t>9024 / 9025</t>
  </si>
  <si>
    <t>07 PALETES</t>
  </si>
  <si>
    <t>RR MUNARETTO</t>
  </si>
  <si>
    <t>QHB-9I78</t>
  </si>
  <si>
    <t>04 VOLUMES</t>
  </si>
  <si>
    <t>FERTZ / SÃO LUCAS</t>
  </si>
  <si>
    <r>
      <t xml:space="preserve">KDP-1483 / </t>
    </r>
    <r>
      <rPr>
        <sz val="10"/>
        <color rgb="FF000000"/>
        <rFont val="Arial"/>
        <family val="2"/>
      </rPr>
      <t>NLY-2A15 (B)</t>
    </r>
  </si>
  <si>
    <t>19 BAGS</t>
  </si>
  <si>
    <t>FERTILIZANTES</t>
  </si>
  <si>
    <r>
      <t xml:space="preserve">KDP-1483 / </t>
    </r>
    <r>
      <rPr>
        <sz val="10"/>
        <color rgb="FF000000"/>
        <rFont val="Arial"/>
        <family val="2"/>
      </rPr>
      <t>NLY-2A45 (B)</t>
    </r>
  </si>
  <si>
    <t>18 BAGS</t>
  </si>
  <si>
    <r>
      <t xml:space="preserve">HVY-5541 / </t>
    </r>
    <r>
      <rPr>
        <sz val="10"/>
        <color rgb="FF000000"/>
        <rFont val="Arial"/>
        <family val="2"/>
      </rPr>
      <t>HYH-9923</t>
    </r>
  </si>
  <si>
    <t>33 BAGS</t>
  </si>
  <si>
    <r>
      <t xml:space="preserve">KET-1393 / </t>
    </r>
    <r>
      <rPr>
        <sz val="10"/>
        <color rgb="FF000000"/>
        <rFont val="Arial"/>
        <family val="2"/>
      </rPr>
      <t>ARL-6537</t>
    </r>
  </si>
  <si>
    <t>30 BAGS</t>
  </si>
  <si>
    <r>
      <rPr>
        <b/>
        <sz val="10"/>
        <color rgb="FF000000"/>
        <rFont val="Arial"/>
        <family val="2"/>
      </rPr>
      <t xml:space="preserve">CNR-6312 / </t>
    </r>
    <r>
      <rPr>
        <sz val="10"/>
        <color rgb="FF000000"/>
        <rFont val="Arial"/>
        <family val="2"/>
      </rPr>
      <t>JSN-3F86</t>
    </r>
  </si>
  <si>
    <t>EXPRESSO MINAS</t>
  </si>
  <si>
    <r>
      <rPr>
        <b/>
        <sz val="10"/>
        <color rgb="FF000000"/>
        <rFont val="Arial"/>
        <family val="2"/>
      </rPr>
      <t xml:space="preserve">SHM-3C00 / </t>
    </r>
    <r>
      <rPr>
        <sz val="10"/>
        <color rgb="FF000000"/>
        <rFont val="Arial"/>
        <family val="2"/>
      </rPr>
      <t>HIQ-2070 (B)</t>
    </r>
  </si>
  <si>
    <t>28 PALETES</t>
  </si>
  <si>
    <t>HIPOCLORITO DE SODIO</t>
  </si>
  <si>
    <t>VITÓRIO</t>
  </si>
  <si>
    <r>
      <rPr>
        <b/>
        <sz val="10"/>
        <color rgb="FF000000"/>
        <rFont val="Arial"/>
        <family val="2"/>
      </rPr>
      <t xml:space="preserve">SHM-3C00 / </t>
    </r>
    <r>
      <rPr>
        <sz val="10"/>
        <color rgb="FF000000"/>
        <rFont val="Arial"/>
        <family val="2"/>
      </rPr>
      <t>HIQ-2080 (B)</t>
    </r>
  </si>
  <si>
    <t>G R TRANSPORTES</t>
  </si>
  <si>
    <r>
      <t xml:space="preserve">DPB-2C25 / </t>
    </r>
    <r>
      <rPr>
        <sz val="10"/>
        <color rgb="FF000000"/>
        <rFont val="Arial"/>
        <family val="2"/>
      </rPr>
      <t>GSV-8C28</t>
    </r>
  </si>
  <si>
    <t>56 PALETES</t>
  </si>
  <si>
    <t>TINTAS</t>
  </si>
  <si>
    <t>POLONI</t>
  </si>
  <si>
    <r>
      <rPr>
        <b/>
        <sz val="10"/>
        <color rgb="FF000000"/>
        <rFont val="Arial"/>
      </rPr>
      <t xml:space="preserve">IOA-5H13 / </t>
    </r>
    <r>
      <rPr>
        <sz val="10"/>
        <color rgb="FF000000"/>
        <rFont val="Arial"/>
      </rPr>
      <t>IPZ-3H01</t>
    </r>
  </si>
  <si>
    <t>PALETES</t>
  </si>
  <si>
    <t>SUZANO</t>
  </si>
  <si>
    <t>CYB-7904</t>
  </si>
  <si>
    <t>BATIDA</t>
  </si>
  <si>
    <t>PAPEL</t>
  </si>
  <si>
    <t>GOIASMINAS</t>
  </si>
  <si>
    <r>
      <t xml:space="preserve">MJO-0E60 / </t>
    </r>
    <r>
      <rPr>
        <sz val="10"/>
        <rFont val="Arial"/>
        <family val="2"/>
      </rPr>
      <t>AUN-1745</t>
    </r>
  </si>
  <si>
    <t>1182760 / 61 / 62</t>
  </si>
  <si>
    <t>LATICINIOS</t>
  </si>
  <si>
    <t>AGUARDANDO PALETIZAÇÃO</t>
  </si>
  <si>
    <t>JOMINI</t>
  </si>
  <si>
    <t>NVT-0641 / SDK-8H21</t>
  </si>
  <si>
    <t>NUBIA</t>
  </si>
  <si>
    <t xml:space="preserve">ANFORA </t>
  </si>
  <si>
    <r>
      <t xml:space="preserve">JLD-9A02 / </t>
    </r>
    <r>
      <rPr>
        <sz val="10"/>
        <color rgb="FF000000"/>
        <rFont val="Arial"/>
        <family val="2"/>
      </rPr>
      <t>NSF-1952</t>
    </r>
  </si>
  <si>
    <t>IRIS</t>
  </si>
  <si>
    <t>CR LTDA</t>
  </si>
  <si>
    <r>
      <rPr>
        <b/>
        <sz val="10"/>
        <color rgb="FF000000"/>
        <rFont val="Arial"/>
      </rPr>
      <t xml:space="preserve">SRJ-5E06 </t>
    </r>
    <r>
      <rPr>
        <sz val="10"/>
        <color rgb="FF000000"/>
        <rFont val="Arial"/>
      </rPr>
      <t>/ RIW-1B10</t>
    </r>
  </si>
  <si>
    <t>8481 / 8482</t>
  </si>
  <si>
    <t>LUBRIFICANTES</t>
  </si>
  <si>
    <t>CCGL</t>
  </si>
  <si>
    <t>SEMI-REBOQUE</t>
  </si>
  <si>
    <t>EWU-4338</t>
  </si>
  <si>
    <t>16283 A 16288</t>
  </si>
  <si>
    <t>CARRETA CBT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</si>
</sst>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yy;@"/>
    <numFmt numFmtId="165" formatCode="00"/>
    <numFmt numFmtId="166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6">
    <xf numFmtId="0" fontId="0" fillId="0" borderId="0" xfId="0"/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center" vertical="center" shrinkToFit="1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44" fontId="3" fillId="0" borderId="1" xfId="1" applyFont="1" applyFill="1" applyBorder="1" applyAlignment="1">
      <alignment vertical="center" shrinkToFit="1"/>
    </xf>
    <xf numFmtId="22" fontId="3" fillId="0" borderId="1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2" applyBorder="1" applyAlignment="1">
      <alignment horizontal="center" vertical="top" wrapText="1"/>
    </xf>
    <xf numFmtId="0" fontId="3" fillId="0" borderId="1" xfId="2" applyBorder="1" applyAlignment="1">
      <alignment horizontal="center" vertical="center"/>
    </xf>
    <xf numFmtId="0" fontId="7" fillId="0" borderId="3" xfId="2" applyFont="1" applyBorder="1" applyAlignment="1">
      <alignment horizontal="center" vertical="top" wrapText="1"/>
    </xf>
    <xf numFmtId="0" fontId="3" fillId="0" borderId="1" xfId="2" applyBorder="1" applyAlignment="1">
      <alignment horizontal="center" vertical="center" wrapText="1"/>
    </xf>
    <xf numFmtId="1" fontId="3" fillId="0" borderId="1" xfId="2" applyNumberFormat="1" applyBorder="1" applyAlignment="1">
      <alignment horizontal="center" vertical="top" shrinkToFit="1"/>
    </xf>
    <xf numFmtId="44" fontId="3" fillId="0" borderId="1" xfId="3" applyFont="1" applyFill="1" applyBorder="1" applyAlignment="1">
      <alignment vertical="center" shrinkToFit="1"/>
    </xf>
    <xf numFmtId="22" fontId="3" fillId="0" borderId="1" xfId="2" applyNumberFormat="1" applyBorder="1" applyAlignment="1">
      <alignment horizontal="center" vertical="top" wrapText="1"/>
    </xf>
    <xf numFmtId="0" fontId="3" fillId="2" borderId="1" xfId="2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44" fontId="8" fillId="0" borderId="1" xfId="4" applyFont="1" applyFill="1" applyBorder="1" applyAlignment="1">
      <alignment vertical="center" shrinkToFit="1"/>
    </xf>
    <xf numFmtId="22" fontId="3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top" wrapText="1"/>
    </xf>
    <xf numFmtId="44" fontId="0" fillId="2" borderId="1" xfId="1" applyFont="1" applyFill="1" applyBorder="1" applyAlignment="1">
      <alignment vertical="center" shrinkToFit="1"/>
    </xf>
    <xf numFmtId="22" fontId="0" fillId="2" borderId="1" xfId="0" applyNumberForma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top" shrinkToFit="1"/>
    </xf>
    <xf numFmtId="44" fontId="0" fillId="0" borderId="1" xfId="1" applyFont="1" applyFill="1" applyBorder="1" applyAlignment="1">
      <alignment vertical="center" shrinkToFit="1"/>
    </xf>
    <xf numFmtId="22" fontId="0" fillId="0" borderId="1" xfId="0" applyNumberFormat="1" applyBorder="1" applyAlignment="1">
      <alignment horizontal="center" vertical="top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5">
    <cellStyle name="Moeda" xfId="1" builtinId="4"/>
    <cellStyle name="Moeda 2" xfId="4" xr:uid="{7201FDD3-1057-4811-AC4C-C954D0E9EBBF}"/>
    <cellStyle name="Moeda 9" xfId="3" xr:uid="{2C317A94-66C1-4318-8067-6F79A4D5BB27}"/>
    <cellStyle name="Normal" xfId="0" builtinId="0"/>
    <cellStyle name="Normal 2" xfId="2" xr:uid="{C41DAF5C-BCA3-4BFA-AC79-87A67948C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10BF-EBF7-4021-8067-C4D37ACEF860}">
  <dimension ref="A1:O25"/>
  <sheetViews>
    <sheetView tabSelected="1" topLeftCell="D22" workbookViewId="0">
      <selection activeCell="M31" sqref="M31"/>
    </sheetView>
  </sheetViews>
  <sheetFormatPr defaultRowHeight="14.4" x14ac:dyDescent="0.3"/>
  <cols>
    <col min="1" max="1" width="8.109375" bestFit="1" customWidth="1"/>
    <col min="2" max="2" width="13.5546875" customWidth="1"/>
    <col min="3" max="3" width="17.21875" customWidth="1"/>
    <col min="4" max="4" width="18.77734375" bestFit="1" customWidth="1"/>
    <col min="5" max="5" width="15" bestFit="1" customWidth="1"/>
    <col min="6" max="6" width="25.109375" customWidth="1"/>
    <col min="7" max="7" width="16.6640625" bestFit="1" customWidth="1"/>
    <col min="8" max="8" width="18.33203125" customWidth="1"/>
    <col min="9" max="9" width="15.21875" bestFit="1" customWidth="1"/>
    <col min="10" max="10" width="14.77734375" customWidth="1"/>
    <col min="11" max="11" width="14.33203125" bestFit="1" customWidth="1"/>
    <col min="12" max="13" width="15.33203125" bestFit="1" customWidth="1"/>
    <col min="14" max="14" width="27.77734375" bestFit="1" customWidth="1"/>
    <col min="15" max="15" width="15.5546875" customWidth="1"/>
  </cols>
  <sheetData>
    <row r="1" spans="1:15" ht="36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9.6" x14ac:dyDescent="0.3">
      <c r="A2" s="7">
        <v>46050</v>
      </c>
      <c r="B2" s="8">
        <v>1</v>
      </c>
      <c r="C2" s="9">
        <f t="shared" ref="C2:C25" si="0">IF(A2=A1,C1+1,1)</f>
        <v>1</v>
      </c>
      <c r="D2" s="10" t="s">
        <v>15</v>
      </c>
      <c r="E2" s="10" t="s">
        <v>16</v>
      </c>
      <c r="F2" s="11" t="s">
        <v>17</v>
      </c>
      <c r="G2" s="12" t="s">
        <v>18</v>
      </c>
      <c r="H2" s="13">
        <v>84</v>
      </c>
      <c r="I2" s="14" t="s">
        <v>19</v>
      </c>
      <c r="J2" s="15">
        <v>24428</v>
      </c>
      <c r="K2" s="16">
        <v>0.01</v>
      </c>
      <c r="L2" s="17">
        <v>46049.8125</v>
      </c>
      <c r="M2" s="10"/>
      <c r="N2" s="18" t="s">
        <v>20</v>
      </c>
      <c r="O2" s="19" t="s">
        <v>21</v>
      </c>
    </row>
    <row r="3" spans="1:15" ht="39.6" x14ac:dyDescent="0.3">
      <c r="A3" s="7">
        <v>46050</v>
      </c>
      <c r="B3" s="8">
        <v>1</v>
      </c>
      <c r="C3" s="9">
        <f t="shared" si="0"/>
        <v>2</v>
      </c>
      <c r="D3" s="10" t="s">
        <v>15</v>
      </c>
      <c r="E3" s="10" t="s">
        <v>16</v>
      </c>
      <c r="F3" s="11" t="s">
        <v>22</v>
      </c>
      <c r="G3" s="12" t="s">
        <v>23</v>
      </c>
      <c r="H3" s="13">
        <v>84</v>
      </c>
      <c r="I3" s="14" t="s">
        <v>19</v>
      </c>
      <c r="J3" s="15">
        <v>22817</v>
      </c>
      <c r="K3" s="16">
        <v>0.01</v>
      </c>
      <c r="L3" s="17">
        <v>46050.04791666667</v>
      </c>
      <c r="M3" s="10"/>
      <c r="N3" s="18" t="s">
        <v>20</v>
      </c>
      <c r="O3" s="19" t="s">
        <v>21</v>
      </c>
    </row>
    <row r="4" spans="1:15" ht="52.8" x14ac:dyDescent="0.3">
      <c r="A4" s="7">
        <v>46050</v>
      </c>
      <c r="B4" s="8">
        <v>1</v>
      </c>
      <c r="C4" s="9">
        <f t="shared" si="0"/>
        <v>3</v>
      </c>
      <c r="D4" s="10" t="s">
        <v>15</v>
      </c>
      <c r="E4" s="10" t="s">
        <v>16</v>
      </c>
      <c r="F4" s="20" t="s">
        <v>24</v>
      </c>
      <c r="G4" s="12" t="s">
        <v>25</v>
      </c>
      <c r="H4" s="13">
        <v>67</v>
      </c>
      <c r="I4" s="14" t="s">
        <v>26</v>
      </c>
      <c r="J4" s="15">
        <v>17603</v>
      </c>
      <c r="K4" s="16">
        <v>165991.18</v>
      </c>
      <c r="L4" s="17">
        <v>46050.263888888891</v>
      </c>
      <c r="M4" s="10"/>
      <c r="N4" s="18" t="s">
        <v>27</v>
      </c>
      <c r="O4" s="19" t="s">
        <v>21</v>
      </c>
    </row>
    <row r="5" spans="1:15" ht="52.8" x14ac:dyDescent="0.3">
      <c r="A5" s="7">
        <v>46050</v>
      </c>
      <c r="B5" s="8">
        <v>1</v>
      </c>
      <c r="C5" s="9">
        <f t="shared" si="0"/>
        <v>4</v>
      </c>
      <c r="D5" s="10" t="s">
        <v>15</v>
      </c>
      <c r="E5" s="10" t="s">
        <v>28</v>
      </c>
      <c r="F5" s="21" t="s">
        <v>29</v>
      </c>
      <c r="G5" s="12">
        <v>1405</v>
      </c>
      <c r="H5" s="13">
        <v>4666</v>
      </c>
      <c r="I5" s="14" t="s">
        <v>30</v>
      </c>
      <c r="J5" s="15">
        <v>23201.02</v>
      </c>
      <c r="K5" s="16">
        <v>0.01</v>
      </c>
      <c r="L5" s="17">
        <v>46049.878472222219</v>
      </c>
      <c r="M5" s="17">
        <v>46050.166666666664</v>
      </c>
      <c r="N5" s="18" t="s">
        <v>20</v>
      </c>
      <c r="O5" s="19" t="s">
        <v>21</v>
      </c>
    </row>
    <row r="6" spans="1:15" ht="52.8" x14ac:dyDescent="0.3">
      <c r="A6" s="7">
        <v>46050</v>
      </c>
      <c r="B6" s="8">
        <v>1</v>
      </c>
      <c r="C6" s="9">
        <f t="shared" si="0"/>
        <v>5</v>
      </c>
      <c r="D6" s="10" t="s">
        <v>31</v>
      </c>
      <c r="E6" s="22" t="s">
        <v>32</v>
      </c>
      <c r="F6" s="23" t="s">
        <v>33</v>
      </c>
      <c r="G6" s="22">
        <v>9021</v>
      </c>
      <c r="H6" s="13" t="s">
        <v>34</v>
      </c>
      <c r="I6" s="10" t="s">
        <v>35</v>
      </c>
      <c r="J6" s="15">
        <v>12000</v>
      </c>
      <c r="K6" s="16">
        <v>157550.10999999999</v>
      </c>
      <c r="L6" s="17">
        <v>46049.701388888891</v>
      </c>
      <c r="M6" s="17"/>
      <c r="N6" s="18" t="s">
        <v>20</v>
      </c>
      <c r="O6" s="19" t="s">
        <v>36</v>
      </c>
    </row>
    <row r="7" spans="1:15" ht="52.8" x14ac:dyDescent="0.3">
      <c r="A7" s="7">
        <v>46050</v>
      </c>
      <c r="B7" s="8">
        <v>1</v>
      </c>
      <c r="C7" s="9">
        <f t="shared" si="0"/>
        <v>6</v>
      </c>
      <c r="D7" s="10" t="s">
        <v>37</v>
      </c>
      <c r="E7" s="22" t="s">
        <v>32</v>
      </c>
      <c r="F7" s="23" t="s">
        <v>33</v>
      </c>
      <c r="G7" s="24" t="s">
        <v>38</v>
      </c>
      <c r="H7" s="13" t="s">
        <v>39</v>
      </c>
      <c r="I7" s="10" t="s">
        <v>35</v>
      </c>
      <c r="J7" s="15">
        <v>10980</v>
      </c>
      <c r="K7" s="16">
        <v>11947.01</v>
      </c>
      <c r="L7" s="17">
        <v>46049.701388888891</v>
      </c>
      <c r="M7" s="17"/>
      <c r="N7" s="18" t="s">
        <v>20</v>
      </c>
      <c r="O7" s="19" t="s">
        <v>36</v>
      </c>
    </row>
    <row r="8" spans="1:15" ht="39.6" x14ac:dyDescent="0.3">
      <c r="A8" s="7">
        <v>46050</v>
      </c>
      <c r="B8" s="8">
        <v>1</v>
      </c>
      <c r="C8" s="9">
        <f t="shared" si="0"/>
        <v>7</v>
      </c>
      <c r="D8" s="25" t="s">
        <v>40</v>
      </c>
      <c r="E8" s="26" t="s">
        <v>32</v>
      </c>
      <c r="F8" s="27" t="s">
        <v>41</v>
      </c>
      <c r="G8" s="26">
        <v>11975</v>
      </c>
      <c r="H8" s="28" t="s">
        <v>42</v>
      </c>
      <c r="I8" s="25" t="s">
        <v>32</v>
      </c>
      <c r="J8" s="29">
        <v>1000</v>
      </c>
      <c r="K8" s="30">
        <v>146877.35999999999</v>
      </c>
      <c r="L8" s="31">
        <v>46049.513888888891</v>
      </c>
      <c r="M8" s="31">
        <v>46049.75</v>
      </c>
      <c r="N8" s="18" t="s">
        <v>20</v>
      </c>
      <c r="O8" s="32" t="s">
        <v>36</v>
      </c>
    </row>
    <row r="9" spans="1:15" ht="52.8" x14ac:dyDescent="0.3">
      <c r="A9" s="7">
        <v>46050</v>
      </c>
      <c r="B9" s="8">
        <v>1</v>
      </c>
      <c r="C9" s="9">
        <f t="shared" si="0"/>
        <v>8</v>
      </c>
      <c r="D9" s="13" t="s">
        <v>43</v>
      </c>
      <c r="E9" s="24" t="s">
        <v>32</v>
      </c>
      <c r="F9" s="23" t="s">
        <v>44</v>
      </c>
      <c r="G9" s="22">
        <v>27359</v>
      </c>
      <c r="H9" s="13" t="s">
        <v>45</v>
      </c>
      <c r="I9" s="10" t="s">
        <v>46</v>
      </c>
      <c r="J9" s="15">
        <v>17875</v>
      </c>
      <c r="K9" s="16">
        <v>54518.75</v>
      </c>
      <c r="L9" s="17">
        <v>46049.5625</v>
      </c>
      <c r="M9" s="17"/>
      <c r="N9" s="18" t="s">
        <v>20</v>
      </c>
      <c r="O9" s="19" t="s">
        <v>36</v>
      </c>
    </row>
    <row r="10" spans="1:15" ht="52.8" x14ac:dyDescent="0.3">
      <c r="A10" s="7">
        <v>46050</v>
      </c>
      <c r="B10" s="8">
        <v>1</v>
      </c>
      <c r="C10" s="9">
        <f t="shared" si="0"/>
        <v>9</v>
      </c>
      <c r="D10" s="13" t="s">
        <v>43</v>
      </c>
      <c r="E10" s="24" t="s">
        <v>32</v>
      </c>
      <c r="F10" s="23" t="s">
        <v>47</v>
      </c>
      <c r="G10" s="22">
        <v>27359</v>
      </c>
      <c r="H10" s="13" t="s">
        <v>48</v>
      </c>
      <c r="I10" s="10" t="s">
        <v>46</v>
      </c>
      <c r="J10" s="15">
        <v>17875</v>
      </c>
      <c r="K10" s="16">
        <v>54518.75</v>
      </c>
      <c r="L10" s="17">
        <v>46049.5625</v>
      </c>
      <c r="M10" s="17"/>
      <c r="N10" s="18" t="s">
        <v>20</v>
      </c>
      <c r="O10" s="19" t="s">
        <v>36</v>
      </c>
    </row>
    <row r="11" spans="1:15" ht="52.8" x14ac:dyDescent="0.3">
      <c r="A11" s="7">
        <v>46050</v>
      </c>
      <c r="B11" s="8">
        <v>1</v>
      </c>
      <c r="C11" s="9">
        <f t="shared" si="0"/>
        <v>10</v>
      </c>
      <c r="D11" s="13" t="s">
        <v>43</v>
      </c>
      <c r="E11" s="24" t="s">
        <v>32</v>
      </c>
      <c r="F11" s="23" t="s">
        <v>49</v>
      </c>
      <c r="G11" s="22">
        <v>27365</v>
      </c>
      <c r="H11" s="13" t="s">
        <v>50</v>
      </c>
      <c r="I11" s="10" t="s">
        <v>46</v>
      </c>
      <c r="J11" s="15">
        <v>32170</v>
      </c>
      <c r="K11" s="16">
        <v>98118.5</v>
      </c>
      <c r="L11" s="17">
        <v>46049.563194444447</v>
      </c>
      <c r="M11" s="17"/>
      <c r="N11" s="18" t="s">
        <v>20</v>
      </c>
      <c r="O11" s="19" t="s">
        <v>36</v>
      </c>
    </row>
    <row r="12" spans="1:15" ht="52.8" x14ac:dyDescent="0.3">
      <c r="A12" s="7">
        <v>46050</v>
      </c>
      <c r="B12" s="8">
        <v>1</v>
      </c>
      <c r="C12" s="9">
        <f t="shared" si="0"/>
        <v>11</v>
      </c>
      <c r="D12" s="13" t="s">
        <v>43</v>
      </c>
      <c r="E12" s="24" t="s">
        <v>32</v>
      </c>
      <c r="F12" s="23" t="s">
        <v>51</v>
      </c>
      <c r="G12" s="22">
        <v>27368</v>
      </c>
      <c r="H12" s="13" t="s">
        <v>52</v>
      </c>
      <c r="I12" s="10" t="s">
        <v>46</v>
      </c>
      <c r="J12" s="15">
        <v>29680</v>
      </c>
      <c r="K12" s="16">
        <v>90524</v>
      </c>
      <c r="L12" s="17">
        <v>46049.616666666669</v>
      </c>
      <c r="M12" s="17"/>
      <c r="N12" s="18" t="s">
        <v>20</v>
      </c>
      <c r="O12" s="19" t="s">
        <v>36</v>
      </c>
    </row>
    <row r="13" spans="1:15" ht="52.8" x14ac:dyDescent="0.3">
      <c r="A13" s="7">
        <v>46050</v>
      </c>
      <c r="B13" s="8">
        <v>1</v>
      </c>
      <c r="C13" s="9">
        <f t="shared" si="0"/>
        <v>12</v>
      </c>
      <c r="D13" s="24" t="s">
        <v>43</v>
      </c>
      <c r="E13" s="24" t="s">
        <v>32</v>
      </c>
      <c r="F13" s="21" t="s">
        <v>53</v>
      </c>
      <c r="G13" s="33">
        <v>27377</v>
      </c>
      <c r="H13" s="34" t="s">
        <v>50</v>
      </c>
      <c r="I13" s="13" t="s">
        <v>46</v>
      </c>
      <c r="J13" s="34">
        <v>32760</v>
      </c>
      <c r="K13" s="35">
        <v>99918</v>
      </c>
      <c r="L13" s="36"/>
      <c r="M13" s="37"/>
      <c r="N13" s="18" t="s">
        <v>20</v>
      </c>
      <c r="O13" s="38" t="s">
        <v>36</v>
      </c>
    </row>
    <row r="14" spans="1:15" ht="52.8" x14ac:dyDescent="0.3">
      <c r="A14" s="7">
        <v>46050</v>
      </c>
      <c r="B14" s="8">
        <v>1</v>
      </c>
      <c r="C14" s="9">
        <f t="shared" si="0"/>
        <v>13</v>
      </c>
      <c r="D14" s="10" t="s">
        <v>54</v>
      </c>
      <c r="E14" s="22" t="s">
        <v>32</v>
      </c>
      <c r="F14" s="39" t="s">
        <v>55</v>
      </c>
      <c r="G14" s="22">
        <v>15006</v>
      </c>
      <c r="H14" s="13" t="s">
        <v>56</v>
      </c>
      <c r="I14" s="10" t="s">
        <v>57</v>
      </c>
      <c r="J14" s="15">
        <v>24750</v>
      </c>
      <c r="K14" s="16">
        <v>360000</v>
      </c>
      <c r="L14" s="17">
        <v>46047.627083333333</v>
      </c>
      <c r="M14" s="17">
        <v>46048.75</v>
      </c>
      <c r="N14" s="18" t="s">
        <v>20</v>
      </c>
      <c r="O14" s="19" t="s">
        <v>58</v>
      </c>
    </row>
    <row r="15" spans="1:15" ht="52.8" x14ac:dyDescent="0.3">
      <c r="A15" s="7">
        <v>46050</v>
      </c>
      <c r="B15" s="8">
        <v>1</v>
      </c>
      <c r="C15" s="9">
        <f t="shared" si="0"/>
        <v>14</v>
      </c>
      <c r="D15" s="10" t="s">
        <v>54</v>
      </c>
      <c r="E15" s="22" t="s">
        <v>32</v>
      </c>
      <c r="F15" s="23" t="s">
        <v>59</v>
      </c>
      <c r="G15" s="22">
        <v>15006</v>
      </c>
      <c r="H15" s="13" t="s">
        <v>56</v>
      </c>
      <c r="I15" s="10" t="s">
        <v>57</v>
      </c>
      <c r="J15" s="15">
        <v>24750</v>
      </c>
      <c r="K15" s="16">
        <v>360000</v>
      </c>
      <c r="L15" s="17">
        <v>46047.627083333333</v>
      </c>
      <c r="M15" s="17">
        <v>46048.75</v>
      </c>
      <c r="N15" s="18" t="s">
        <v>20</v>
      </c>
      <c r="O15" s="19" t="s">
        <v>58</v>
      </c>
    </row>
    <row r="16" spans="1:15" ht="52.8" x14ac:dyDescent="0.3">
      <c r="A16" s="7">
        <v>46050</v>
      </c>
      <c r="B16" s="8">
        <v>1</v>
      </c>
      <c r="C16" s="9">
        <f t="shared" si="0"/>
        <v>15</v>
      </c>
      <c r="D16" s="13" t="s">
        <v>60</v>
      </c>
      <c r="E16" s="24" t="s">
        <v>32</v>
      </c>
      <c r="F16" s="23" t="s">
        <v>61</v>
      </c>
      <c r="G16" s="22">
        <v>424</v>
      </c>
      <c r="H16" s="13" t="s">
        <v>62</v>
      </c>
      <c r="I16" s="14" t="s">
        <v>63</v>
      </c>
      <c r="J16" s="15">
        <v>7150.08</v>
      </c>
      <c r="K16" s="16">
        <v>147349.01999999999</v>
      </c>
      <c r="L16" s="17">
        <v>46049.94027777778</v>
      </c>
      <c r="M16" s="17"/>
      <c r="N16" s="18" t="s">
        <v>20</v>
      </c>
      <c r="O16" s="19" t="s">
        <v>36</v>
      </c>
    </row>
    <row r="17" spans="1:15" ht="39.6" x14ac:dyDescent="0.3">
      <c r="A17" s="7">
        <v>46050</v>
      </c>
      <c r="B17" s="8">
        <v>1</v>
      </c>
      <c r="C17" s="9">
        <f t="shared" si="0"/>
        <v>16</v>
      </c>
      <c r="D17" s="13" t="s">
        <v>64</v>
      </c>
      <c r="E17" s="24" t="s">
        <v>32</v>
      </c>
      <c r="F17" s="40" t="s">
        <v>65</v>
      </c>
      <c r="G17" s="22">
        <v>25712</v>
      </c>
      <c r="H17" s="13" t="s">
        <v>66</v>
      </c>
      <c r="I17" s="14" t="s">
        <v>32</v>
      </c>
      <c r="J17" s="15">
        <v>2632.7</v>
      </c>
      <c r="K17" s="16">
        <v>538530</v>
      </c>
      <c r="L17" s="17">
        <v>46050.281944444447</v>
      </c>
      <c r="M17" s="17"/>
      <c r="N17" s="18" t="s">
        <v>27</v>
      </c>
      <c r="O17" s="19" t="s">
        <v>36</v>
      </c>
    </row>
    <row r="18" spans="1:15" ht="26.4" x14ac:dyDescent="0.3">
      <c r="A18" s="7">
        <v>46050</v>
      </c>
      <c r="B18" s="8">
        <v>1</v>
      </c>
      <c r="C18" s="9">
        <f t="shared" si="0"/>
        <v>17</v>
      </c>
      <c r="D18" s="10" t="s">
        <v>67</v>
      </c>
      <c r="E18" s="10" t="s">
        <v>32</v>
      </c>
      <c r="F18" s="41" t="s">
        <v>68</v>
      </c>
      <c r="G18" s="15">
        <v>22398448</v>
      </c>
      <c r="H18" s="13" t="s">
        <v>69</v>
      </c>
      <c r="I18" s="10" t="s">
        <v>70</v>
      </c>
      <c r="J18" s="15">
        <v>6184</v>
      </c>
      <c r="K18" s="16">
        <v>75876.759999999995</v>
      </c>
      <c r="L18" s="17">
        <v>46046.493055555555</v>
      </c>
      <c r="M18" s="10"/>
      <c r="N18" s="18" t="s">
        <v>27</v>
      </c>
      <c r="O18" s="19" t="s">
        <v>58</v>
      </c>
    </row>
    <row r="19" spans="1:15" ht="52.8" x14ac:dyDescent="0.3">
      <c r="A19" s="7">
        <v>46050</v>
      </c>
      <c r="B19" s="8">
        <v>1</v>
      </c>
      <c r="C19" s="9">
        <f t="shared" si="0"/>
        <v>18</v>
      </c>
      <c r="D19" s="10" t="s">
        <v>71</v>
      </c>
      <c r="E19" s="10" t="s">
        <v>32</v>
      </c>
      <c r="F19" s="42" t="s">
        <v>72</v>
      </c>
      <c r="G19" s="43" t="s">
        <v>73</v>
      </c>
      <c r="H19" s="44" t="s">
        <v>69</v>
      </c>
      <c r="I19" s="45" t="s">
        <v>74</v>
      </c>
      <c r="J19" s="43">
        <v>31394</v>
      </c>
      <c r="K19" s="46">
        <v>164599.49</v>
      </c>
      <c r="L19" s="47">
        <v>46049.504861111112</v>
      </c>
      <c r="M19" s="48"/>
      <c r="N19" s="49" t="s">
        <v>75</v>
      </c>
      <c r="O19" s="19" t="s">
        <v>21</v>
      </c>
    </row>
    <row r="20" spans="1:15" ht="52.8" x14ac:dyDescent="0.3">
      <c r="A20" s="7">
        <v>46050</v>
      </c>
      <c r="B20" s="8">
        <v>1</v>
      </c>
      <c r="C20" s="9">
        <f t="shared" si="0"/>
        <v>19</v>
      </c>
      <c r="D20" s="10" t="s">
        <v>76</v>
      </c>
      <c r="E20" s="10" t="s">
        <v>32</v>
      </c>
      <c r="F20" s="42" t="s">
        <v>77</v>
      </c>
      <c r="G20" s="43">
        <v>58969</v>
      </c>
      <c r="H20" s="44" t="s">
        <v>69</v>
      </c>
      <c r="I20" s="45" t="s">
        <v>74</v>
      </c>
      <c r="J20" s="43">
        <v>22302</v>
      </c>
      <c r="K20" s="46">
        <v>310404.76</v>
      </c>
      <c r="L20" s="47">
        <v>46261.802083333336</v>
      </c>
      <c r="M20" s="48"/>
      <c r="N20" s="49" t="s">
        <v>75</v>
      </c>
      <c r="O20" s="19" t="s">
        <v>78</v>
      </c>
    </row>
    <row r="21" spans="1:15" ht="52.8" x14ac:dyDescent="0.3">
      <c r="A21" s="7">
        <v>46050</v>
      </c>
      <c r="B21" s="8">
        <v>1</v>
      </c>
      <c r="C21" s="9">
        <f t="shared" si="0"/>
        <v>20</v>
      </c>
      <c r="D21" s="50" t="s">
        <v>79</v>
      </c>
      <c r="E21" s="50" t="s">
        <v>32</v>
      </c>
      <c r="F21" s="51" t="s">
        <v>80</v>
      </c>
      <c r="G21" s="43">
        <v>116</v>
      </c>
      <c r="H21" s="44" t="s">
        <v>66</v>
      </c>
      <c r="I21" s="50" t="s">
        <v>32</v>
      </c>
      <c r="J21" s="43">
        <v>13813.2</v>
      </c>
      <c r="K21" s="46">
        <v>751450.9</v>
      </c>
      <c r="L21" s="47">
        <v>46044.896527777775</v>
      </c>
      <c r="M21" s="47">
        <v>46045.729166666664</v>
      </c>
      <c r="N21" s="52" t="s">
        <v>27</v>
      </c>
      <c r="O21" s="19" t="s">
        <v>36</v>
      </c>
    </row>
    <row r="22" spans="1:15" ht="52.8" x14ac:dyDescent="0.3">
      <c r="A22" s="7">
        <v>46050</v>
      </c>
      <c r="B22" s="8">
        <v>1</v>
      </c>
      <c r="C22" s="9">
        <f t="shared" si="0"/>
        <v>21</v>
      </c>
      <c r="D22" s="19" t="s">
        <v>81</v>
      </c>
      <c r="E22" s="50" t="s">
        <v>32</v>
      </c>
      <c r="F22" s="51" t="s">
        <v>80</v>
      </c>
      <c r="G22" s="43">
        <v>8649</v>
      </c>
      <c r="H22" s="44" t="s">
        <v>66</v>
      </c>
      <c r="I22" s="50" t="s">
        <v>32</v>
      </c>
      <c r="J22" s="43">
        <v>55</v>
      </c>
      <c r="K22" s="46">
        <v>2044.8</v>
      </c>
      <c r="L22" s="47">
        <v>46044.896527777775</v>
      </c>
      <c r="M22" s="48"/>
      <c r="N22" s="52" t="s">
        <v>27</v>
      </c>
      <c r="O22" s="19" t="s">
        <v>36</v>
      </c>
    </row>
    <row r="23" spans="1:15" ht="52.8" x14ac:dyDescent="0.3">
      <c r="A23" s="7">
        <v>46050</v>
      </c>
      <c r="B23" s="8">
        <v>1</v>
      </c>
      <c r="C23" s="9">
        <f t="shared" si="0"/>
        <v>22</v>
      </c>
      <c r="D23" s="53" t="s">
        <v>82</v>
      </c>
      <c r="E23" s="54" t="s">
        <v>32</v>
      </c>
      <c r="F23" s="55" t="s">
        <v>83</v>
      </c>
      <c r="G23" s="56" t="s">
        <v>84</v>
      </c>
      <c r="H23" s="13" t="s">
        <v>66</v>
      </c>
      <c r="I23" s="57" t="s">
        <v>85</v>
      </c>
      <c r="J23" s="58">
        <v>2738.18</v>
      </c>
      <c r="K23" s="59">
        <v>52855.6</v>
      </c>
      <c r="L23" s="60">
        <v>46045.927083333336</v>
      </c>
      <c r="M23" s="60"/>
      <c r="N23" s="18" t="s">
        <v>27</v>
      </c>
      <c r="O23" s="61" t="s">
        <v>36</v>
      </c>
    </row>
    <row r="24" spans="1:15" ht="26.4" x14ac:dyDescent="0.3">
      <c r="A24" s="7">
        <v>46050</v>
      </c>
      <c r="B24" s="8">
        <v>1</v>
      </c>
      <c r="C24" s="9">
        <f t="shared" si="0"/>
        <v>23</v>
      </c>
      <c r="D24" s="10" t="s">
        <v>86</v>
      </c>
      <c r="E24" s="38" t="s">
        <v>87</v>
      </c>
      <c r="F24" s="42" t="s">
        <v>88</v>
      </c>
      <c r="G24" s="15" t="s">
        <v>89</v>
      </c>
      <c r="H24" s="13">
        <v>1</v>
      </c>
      <c r="I24" s="14" t="s">
        <v>90</v>
      </c>
      <c r="J24" s="15">
        <v>39599</v>
      </c>
      <c r="K24" s="16">
        <v>446725.36</v>
      </c>
      <c r="L24" s="17">
        <v>46049.711805555555</v>
      </c>
      <c r="M24" s="41"/>
      <c r="N24" s="18" t="s">
        <v>27</v>
      </c>
      <c r="O24" s="19" t="s">
        <v>21</v>
      </c>
    </row>
    <row r="25" spans="1:15" x14ac:dyDescent="0.3">
      <c r="A25" s="7">
        <v>46050</v>
      </c>
      <c r="B25" s="8">
        <v>1</v>
      </c>
      <c r="C25" s="9">
        <f t="shared" si="0"/>
        <v>24</v>
      </c>
      <c r="D25" s="62"/>
      <c r="E25" s="62"/>
      <c r="F25" s="63"/>
      <c r="G25" s="12"/>
      <c r="H25" s="13"/>
      <c r="I25" s="64"/>
      <c r="J25" s="12"/>
      <c r="K25" s="16"/>
      <c r="L25" s="36"/>
      <c r="M25" s="13"/>
      <c r="N25" s="18"/>
      <c r="O25" s="6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 Silva Gonçalves</dc:creator>
  <cp:lastModifiedBy>Eduardo da Silva Gonçalves</cp:lastModifiedBy>
  <dcterms:created xsi:type="dcterms:W3CDTF">2026-01-28T13:08:13Z</dcterms:created>
  <dcterms:modified xsi:type="dcterms:W3CDTF">2026-01-28T13:12:05Z</dcterms:modified>
</cp:coreProperties>
</file>