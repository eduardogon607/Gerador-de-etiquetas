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mhann\Desktop\"/>
    </mc:Choice>
  </mc:AlternateContent>
  <xr:revisionPtr revIDLastSave="0" documentId="8_{813F7CA9-E590-42EC-AD56-50F340F9B5A9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MAPA DE EMBARQUE" sheetId="2" state="hidden" r:id="rId1"/>
    <sheet name="MAPA2 " sheetId="3" state="hidden" r:id="rId2"/>
    <sheet name="Plan4" sheetId="8" state="hidden" r:id="rId3"/>
    <sheet name="PLAN1" sheetId="4" r:id="rId4"/>
  </sheets>
  <definedNames>
    <definedName name="_xlnm._FilterDatabase" localSheetId="3" hidden="1">PLAN1!$A$1:$O$44</definedName>
    <definedName name="_xlnm.Print_Area" localSheetId="0">'MAPA DE EMBARQUE'!$A$1:$M$22</definedName>
    <definedName name="_xlnm.Print_Area" localSheetId="1">'MAPA2 '!$A$1:$M$22</definedName>
    <definedName name="_xlnm.Print_Area" localSheetId="3">PLAN1!$A$2:$O$44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l="1"/>
  <c r="C14" i="4" l="1"/>
  <c r="C15" i="4" s="1"/>
  <c r="C16" i="4" s="1"/>
  <c r="C17" i="4" s="1"/>
  <c r="C18" i="4" s="1"/>
  <c r="C19" i="4" s="1"/>
  <c r="C20" i="4" s="1"/>
  <c r="C21" i="4" s="1"/>
  <c r="C22" i="4" l="1"/>
  <c r="C23" i="4" s="1"/>
  <c r="C24" i="4" s="1"/>
  <c r="C25" i="4" s="1"/>
  <c r="C26" i="4" s="1"/>
  <c r="C27" i="4" s="1"/>
  <c r="C28" i="4" s="1"/>
  <c r="C29" i="4" l="1"/>
  <c r="C30" i="4" l="1"/>
  <c r="C31" i="4" s="1"/>
  <c r="C32" i="4" s="1"/>
  <c r="C33" i="4" s="1"/>
  <c r="C34" i="4" s="1"/>
  <c r="C35" i="4" s="1"/>
  <c r="C36" i="4" s="1"/>
  <c r="C37" i="4" l="1"/>
  <c r="C38" i="4" s="1"/>
  <c r="C39" i="4" s="1"/>
  <c r="C40" i="4" s="1"/>
  <c r="C41" i="4" s="1"/>
  <c r="C42" i="4" s="1"/>
  <c r="C43" i="4" s="1"/>
  <c r="C44" i="4" s="1"/>
  <c r="L14" i="2"/>
  <c r="L16" i="2"/>
  <c r="L18" i="2"/>
  <c r="L10" i="2"/>
  <c r="L12" i="2"/>
  <c r="F18" i="2"/>
  <c r="D18" i="2"/>
  <c r="A18" i="2"/>
  <c r="D16" i="2"/>
  <c r="A16" i="2"/>
  <c r="F14" i="2"/>
  <c r="D14" i="2"/>
  <c r="A14" i="2"/>
  <c r="F12" i="2"/>
  <c r="D12" i="2"/>
  <c r="A12" i="2"/>
  <c r="F10" i="2"/>
  <c r="D10" i="2"/>
  <c r="A10" i="2"/>
  <c r="A10" i="3"/>
  <c r="A12" i="3"/>
  <c r="A14" i="3"/>
  <c r="A16" i="3"/>
  <c r="A18" i="3"/>
  <c r="D10" i="3"/>
  <c r="D18" i="3"/>
  <c r="D16" i="3"/>
  <c r="D14" i="3"/>
  <c r="D12" i="3"/>
  <c r="F10" i="3"/>
  <c r="F12" i="3"/>
  <c r="F14" i="3"/>
  <c r="F16" i="3"/>
  <c r="F18" i="3"/>
  <c r="L10" i="3"/>
  <c r="L12" i="3"/>
  <c r="L14" i="3"/>
  <c r="L16" i="3"/>
  <c r="L18" i="3"/>
  <c r="F8" i="2" l="1"/>
  <c r="D8" i="2"/>
  <c r="M10" i="2"/>
  <c r="F8" i="3"/>
  <c r="M14" i="2"/>
  <c r="M14" i="3"/>
  <c r="D8" i="3"/>
  <c r="M10" i="3"/>
  <c r="A8" i="3"/>
  <c r="A8" i="2"/>
  <c r="H21" i="2" l="1"/>
  <c r="E8" i="2"/>
  <c r="J8" i="3"/>
  <c r="E8" i="3"/>
  <c r="J8" i="2"/>
  <c r="H21" i="3"/>
</calcChain>
</file>

<file path=xl/sharedStrings.xml><?xml version="1.0" encoding="utf-8"?>
<sst xmlns="http://schemas.openxmlformats.org/spreadsheetml/2006/main" count="548" uniqueCount="232">
  <si>
    <t>MAPA DE EMBARQUE</t>
  </si>
  <si>
    <t>POPA</t>
  </si>
  <si>
    <t>PESO TOTAL</t>
  </si>
  <si>
    <t>A</t>
  </si>
  <si>
    <t xml:space="preserve">CBT RACK </t>
  </si>
  <si>
    <t>B</t>
  </si>
  <si>
    <t>C</t>
  </si>
  <si>
    <t>D</t>
  </si>
  <si>
    <t>E</t>
  </si>
  <si>
    <t>PROA</t>
  </si>
  <si>
    <t>SW Rotterdam</t>
  </si>
  <si>
    <t>CONF. VII</t>
  </si>
  <si>
    <t>OPERAÇÃO</t>
  </si>
  <si>
    <t>BELEM / MANAUS</t>
  </si>
  <si>
    <t>DATA</t>
  </si>
  <si>
    <t>MÊS</t>
  </si>
  <si>
    <t>Carga</t>
  </si>
  <si>
    <t>VIAGEM</t>
  </si>
  <si>
    <t>EMPRESA</t>
  </si>
  <si>
    <t>TIPO</t>
  </si>
  <si>
    <t>PLACA</t>
  </si>
  <si>
    <t>NOTA F.</t>
  </si>
  <si>
    <t>QTD</t>
  </si>
  <si>
    <t>FROTA</t>
  </si>
  <si>
    <t>PESO</t>
  </si>
  <si>
    <t>Y-6003</t>
  </si>
  <si>
    <t>LSL</t>
  </si>
  <si>
    <t>RACK</t>
  </si>
  <si>
    <t>NKX-8464</t>
  </si>
  <si>
    <t>1271 / MTO: 118</t>
  </si>
  <si>
    <t>82 + 54</t>
  </si>
  <si>
    <t>GOI</t>
  </si>
  <si>
    <t>Data da Finalização: _____/_____/_____</t>
  </si>
  <si>
    <t xml:space="preserve">Elaborado por: Encarregado da Expedição </t>
  </si>
  <si>
    <t>Executor / Aprovador: __________________________________________________</t>
  </si>
  <si>
    <t>Registro da Qualidade emitido em: 01/07/2016</t>
  </si>
  <si>
    <t>TRANSPESADO</t>
  </si>
  <si>
    <t>ADISBEL</t>
  </si>
  <si>
    <t>BORESTE</t>
  </si>
  <si>
    <t>BOA VISTA ALIMENTOS</t>
  </si>
  <si>
    <t>EXATA CARGO</t>
  </si>
  <si>
    <t>NJ DISTRIBUIÇÃO</t>
  </si>
  <si>
    <t>YARA / JAYORO</t>
  </si>
  <si>
    <t>RAMDREL</t>
  </si>
  <si>
    <t>Total Geral</t>
  </si>
  <si>
    <t>OVER TRUCK</t>
  </si>
  <si>
    <t>MUNDIAL</t>
  </si>
  <si>
    <t>GOLD BRASIL</t>
  </si>
  <si>
    <t>RODOVITOR</t>
  </si>
  <si>
    <t>REBOUÇAS</t>
  </si>
  <si>
    <t>TRANSAGUIAR</t>
  </si>
  <si>
    <t>CPV</t>
  </si>
  <si>
    <t>JADE</t>
  </si>
  <si>
    <t>UNILOG</t>
  </si>
  <si>
    <t>(vazio)</t>
  </si>
  <si>
    <t>ALEX MUSSI</t>
  </si>
  <si>
    <t>COMBITRANS / LSL</t>
  </si>
  <si>
    <t>NKE-7134</t>
  </si>
  <si>
    <t>2111 / MTO: 650</t>
  </si>
  <si>
    <t>BEL</t>
  </si>
  <si>
    <t>DIVERSOS</t>
  </si>
  <si>
    <t>DVS-4283</t>
  </si>
  <si>
    <t>NGK-5994</t>
  </si>
  <si>
    <t>NGK-6074</t>
  </si>
  <si>
    <t>NFL-3104</t>
  </si>
  <si>
    <t>NGE-4776</t>
  </si>
  <si>
    <t>EJW-8421</t>
  </si>
  <si>
    <t>CUE-1263</t>
  </si>
  <si>
    <t>CUE-1262</t>
  </si>
  <si>
    <t>LZB-9412</t>
  </si>
  <si>
    <t>247024 a 247027</t>
  </si>
  <si>
    <t>3976 / 20 PALETES</t>
  </si>
  <si>
    <t>CLU-9614</t>
  </si>
  <si>
    <t>247008 a 247015</t>
  </si>
  <si>
    <t>4004 / 20 PALETES</t>
  </si>
  <si>
    <t>BXB-8212</t>
  </si>
  <si>
    <t>246176 / 246186</t>
  </si>
  <si>
    <t>5740 / 20 PALETES</t>
  </si>
  <si>
    <t>246188 / 246189</t>
  </si>
  <si>
    <t>246174 / 246185</t>
  </si>
  <si>
    <t>NWX-6345</t>
  </si>
  <si>
    <t>247028 / 247029</t>
  </si>
  <si>
    <t>8036 / 28 PALETES</t>
  </si>
  <si>
    <t>234973 / 234974</t>
  </si>
  <si>
    <t>20184 / 24 PALETES</t>
  </si>
  <si>
    <t>QDA-9384</t>
  </si>
  <si>
    <t>247021 / 247022</t>
  </si>
  <si>
    <t>8288 / 28 PALETES</t>
  </si>
  <si>
    <t>JVL-5764</t>
  </si>
  <si>
    <t>246243 / 246244</t>
  </si>
  <si>
    <t>10220 / 28 PALETES</t>
  </si>
  <si>
    <t>QEN-9001</t>
  </si>
  <si>
    <t>246226 / 246227</t>
  </si>
  <si>
    <t>246224 / 246225</t>
  </si>
  <si>
    <t>2996 / 28 PALETES</t>
  </si>
  <si>
    <t>MXG-8386</t>
  </si>
  <si>
    <t>247019 / 247020</t>
  </si>
  <si>
    <t>30604 / 28 PALETES</t>
  </si>
  <si>
    <t>CARRETA</t>
  </si>
  <si>
    <t>OFN-2750</t>
  </si>
  <si>
    <t>34 / 2625</t>
  </si>
  <si>
    <t>POSIÇÃO</t>
  </si>
  <si>
    <t>PLACAS</t>
  </si>
  <si>
    <t>MDF/DANFE</t>
  </si>
  <si>
    <t>QDE</t>
  </si>
  <si>
    <t>PRODUTO</t>
  </si>
  <si>
    <t xml:space="preserve">VALOR AVERBADO </t>
  </si>
  <si>
    <t>CHEGADA</t>
  </si>
  <si>
    <t>DATA DESCARGA</t>
  </si>
  <si>
    <t>STATUS</t>
  </si>
  <si>
    <t>COMERCIAL</t>
  </si>
  <si>
    <r>
      <rPr>
        <b/>
        <sz val="9"/>
        <color rgb="FF000000"/>
        <rFont val="Arial"/>
        <family val="2"/>
      </rPr>
      <t xml:space="preserve">RXD-3F51 / </t>
    </r>
    <r>
      <rPr>
        <sz val="9"/>
        <color rgb="FF000000"/>
        <rFont val="Arial"/>
        <family val="2"/>
      </rPr>
      <t>SVH-8H99 (B)</t>
    </r>
  </si>
  <si>
    <t>1546 / MTO: 13175</t>
  </si>
  <si>
    <t>RACK / BTM</t>
  </si>
  <si>
    <t>EMBARCADO CB-17029</t>
  </si>
  <si>
    <t>COMBITRANS</t>
  </si>
  <si>
    <r>
      <rPr>
        <b/>
        <sz val="9"/>
        <color rgb="FF000000"/>
        <rFont val="Arial"/>
        <family val="2"/>
      </rPr>
      <t xml:space="preserve">RXD-3F51 / </t>
    </r>
    <r>
      <rPr>
        <sz val="9"/>
        <color rgb="FF000000"/>
        <rFont val="Arial"/>
        <family val="2"/>
      </rPr>
      <t>STH-6G65 (B)</t>
    </r>
  </si>
  <si>
    <t>1547 / MTO: 13175</t>
  </si>
  <si>
    <r>
      <t xml:space="preserve">FZS-8E97 / </t>
    </r>
    <r>
      <rPr>
        <sz val="9"/>
        <color rgb="FF000000"/>
        <rFont val="Arial"/>
        <family val="2"/>
      </rPr>
      <t>CUE-1260 (B)</t>
    </r>
  </si>
  <si>
    <t>1537 / MTO: 15179</t>
  </si>
  <si>
    <t>RACK / GOI</t>
  </si>
  <si>
    <t>LIBERADO</t>
  </si>
  <si>
    <r>
      <t xml:space="preserve">FZS-8E97 / </t>
    </r>
    <r>
      <rPr>
        <sz val="9"/>
        <color rgb="FF000000"/>
        <rFont val="Arial"/>
        <family val="2"/>
      </rPr>
      <t>CUE-1261 (B)</t>
    </r>
  </si>
  <si>
    <t>1538 / MTO: 15179</t>
  </si>
  <si>
    <r>
      <t xml:space="preserve">SZO-3C03 / </t>
    </r>
    <r>
      <rPr>
        <sz val="9"/>
        <color rgb="FF000000"/>
        <rFont val="Arial"/>
        <family val="2"/>
      </rPr>
      <t>TMI-5D43 (B)</t>
    </r>
  </si>
  <si>
    <t>1539 / MTO: 15192</t>
  </si>
  <si>
    <r>
      <t xml:space="preserve">SZO-3C03 / </t>
    </r>
    <r>
      <rPr>
        <sz val="9"/>
        <color rgb="FF000000"/>
        <rFont val="Arial"/>
        <family val="2"/>
      </rPr>
      <t>TMI-8B04 (B)</t>
    </r>
  </si>
  <si>
    <t>1540 / MTO: 15192</t>
  </si>
  <si>
    <r>
      <t xml:space="preserve">QIS-3C30 / </t>
    </r>
    <r>
      <rPr>
        <sz val="9"/>
        <color rgb="FF000000"/>
        <rFont val="Arial"/>
        <family val="2"/>
      </rPr>
      <t>PHW-2G26 (B)</t>
    </r>
  </si>
  <si>
    <t>1789 / MTO: 782</t>
  </si>
  <si>
    <t>RACK / FOR</t>
  </si>
  <si>
    <r>
      <t xml:space="preserve">QIS-3C30 / </t>
    </r>
    <r>
      <rPr>
        <sz val="9"/>
        <color rgb="FF000000"/>
        <rFont val="Arial"/>
        <family val="2"/>
      </rPr>
      <t>PHW-2G56 (B)</t>
    </r>
  </si>
  <si>
    <t>1790 / MTO: 782</t>
  </si>
  <si>
    <r>
      <t xml:space="preserve">LYG-9C05 / </t>
    </r>
    <r>
      <rPr>
        <sz val="9"/>
        <color rgb="FF000000"/>
        <rFont val="Arial"/>
        <family val="2"/>
      </rPr>
      <t>NGN-0B15</t>
    </r>
  </si>
  <si>
    <t>702 / MTO: 4758</t>
  </si>
  <si>
    <t>RACK / CBA</t>
  </si>
  <si>
    <r>
      <t xml:space="preserve">QEF-8D27 / </t>
    </r>
    <r>
      <rPr>
        <sz val="9"/>
        <color rgb="FF000000"/>
        <rFont val="Arial"/>
        <family val="2"/>
      </rPr>
      <t>CUE-1269 (B)</t>
    </r>
  </si>
  <si>
    <t>5018 / MTO: 28558</t>
  </si>
  <si>
    <t>RACK / CPV</t>
  </si>
  <si>
    <r>
      <t xml:space="preserve">QEF-8D27 / </t>
    </r>
    <r>
      <rPr>
        <sz val="9"/>
        <color rgb="FF000000"/>
        <rFont val="Arial"/>
        <family val="2"/>
      </rPr>
      <t>CUE-1268 (B)</t>
    </r>
  </si>
  <si>
    <t>5019 / MTO: 28558</t>
  </si>
  <si>
    <t>DRI-9860</t>
  </si>
  <si>
    <t>3312 / MTO: 2222</t>
  </si>
  <si>
    <t>RACK / BEL</t>
  </si>
  <si>
    <t>DPC-4072</t>
  </si>
  <si>
    <t>3313 / MTO: 2223</t>
  </si>
  <si>
    <t>3314 / MTO: 2224</t>
  </si>
  <si>
    <t>STORK / LSL</t>
  </si>
  <si>
    <r>
      <rPr>
        <b/>
        <sz val="9"/>
        <color rgb="FF000000"/>
        <rFont val="Arial"/>
        <family val="2"/>
      </rPr>
      <t xml:space="preserve">QYC-0626 / </t>
    </r>
    <r>
      <rPr>
        <sz val="9"/>
        <color rgb="FF000000"/>
        <rFont val="Arial"/>
        <family val="2"/>
      </rPr>
      <t>JQI-0578</t>
    </r>
  </si>
  <si>
    <t>3160 / MTO: 6706</t>
  </si>
  <si>
    <t>RACK / REC</t>
  </si>
  <si>
    <r>
      <t xml:space="preserve">MHI-1G48 / </t>
    </r>
    <r>
      <rPr>
        <sz val="9"/>
        <color rgb="FF000000"/>
        <rFont val="Arial"/>
        <family val="2"/>
      </rPr>
      <t>NWK-1F18</t>
    </r>
  </si>
  <si>
    <t>2285 / MTO: 15748</t>
  </si>
  <si>
    <t>RACK / SIF</t>
  </si>
  <si>
    <t>J RIVELINO</t>
  </si>
  <si>
    <r>
      <rPr>
        <b/>
        <sz val="9"/>
        <color rgb="FF000000"/>
        <rFont val="Arial"/>
        <family val="2"/>
      </rPr>
      <t xml:space="preserve">AHQ-2C53 / </t>
    </r>
    <r>
      <rPr>
        <sz val="9"/>
        <color rgb="FF000000"/>
        <rFont val="Arial"/>
        <family val="2"/>
      </rPr>
      <t>AAU-4A24</t>
    </r>
  </si>
  <si>
    <t>40098 / 400099 / 400100 / 4000101</t>
  </si>
  <si>
    <t>16 PALETES</t>
  </si>
  <si>
    <t>CIMENTO</t>
  </si>
  <si>
    <t>SALES</t>
  </si>
  <si>
    <t>R DE BARROS</t>
  </si>
  <si>
    <r>
      <rPr>
        <b/>
        <sz val="9"/>
        <color rgb="FF000000"/>
        <rFont val="Arial"/>
        <family val="2"/>
      </rPr>
      <t xml:space="preserve">RWP-8H05 / </t>
    </r>
    <r>
      <rPr>
        <sz val="9"/>
        <color rgb="FF000000"/>
        <rFont val="Arial"/>
        <family val="2"/>
      </rPr>
      <t>RWQ-4C56 (B)</t>
    </r>
  </si>
  <si>
    <t>PALETES</t>
  </si>
  <si>
    <t>EMBARCADO CB-17030</t>
  </si>
  <si>
    <r>
      <rPr>
        <b/>
        <sz val="9"/>
        <color rgb="FF000000"/>
        <rFont val="Arial"/>
        <family val="2"/>
      </rPr>
      <t xml:space="preserve">RWP-8H05 / </t>
    </r>
    <r>
      <rPr>
        <sz val="9"/>
        <color rgb="FF000000"/>
        <rFont val="Arial"/>
        <family val="2"/>
      </rPr>
      <t>RWQ-4C96 (B)</t>
    </r>
  </si>
  <si>
    <t>EMBARCADO CB-17031</t>
  </si>
  <si>
    <t>REAL 94</t>
  </si>
  <si>
    <t>BWH-0J43</t>
  </si>
  <si>
    <t>39 VOLUMES</t>
  </si>
  <si>
    <t>REFRIGERADORES</t>
  </si>
  <si>
    <r>
      <rPr>
        <b/>
        <sz val="9"/>
        <color rgb="FF000000"/>
        <rFont val="Arial"/>
        <family val="2"/>
      </rPr>
      <t xml:space="preserve">QVE-7F19 / </t>
    </r>
    <r>
      <rPr>
        <sz val="9"/>
        <color rgb="FF000000"/>
        <rFont val="Arial"/>
        <family val="2"/>
      </rPr>
      <t>TLN-4C12 (B)</t>
    </r>
  </si>
  <si>
    <t>LATICINIOS</t>
  </si>
  <si>
    <r>
      <rPr>
        <b/>
        <sz val="9"/>
        <color rgb="FF000000"/>
        <rFont val="Arial"/>
        <family val="2"/>
      </rPr>
      <t xml:space="preserve">QVE-7F19 / </t>
    </r>
    <r>
      <rPr>
        <sz val="9"/>
        <color rgb="FF000000"/>
        <rFont val="Arial"/>
        <family val="2"/>
      </rPr>
      <t>TKB-1A02 (B)</t>
    </r>
  </si>
  <si>
    <t>FRIBON</t>
  </si>
  <si>
    <r>
      <rPr>
        <b/>
        <sz val="9"/>
        <color rgb="FF000000"/>
        <rFont val="Arial"/>
        <family val="2"/>
      </rPr>
      <t xml:space="preserve">QVC-7G69 / </t>
    </r>
    <r>
      <rPr>
        <sz val="9"/>
        <color rgb="FF000000"/>
        <rFont val="Arial"/>
        <family val="2"/>
      </rPr>
      <t>SDY-5C45 (B)</t>
    </r>
  </si>
  <si>
    <t>BAGS</t>
  </si>
  <si>
    <t>FERTILIZANTES</t>
  </si>
  <si>
    <r>
      <rPr>
        <b/>
        <sz val="9"/>
        <color rgb="FF000000"/>
        <rFont val="Arial"/>
        <family val="2"/>
      </rPr>
      <t xml:space="preserve">QVC-7G69 / </t>
    </r>
    <r>
      <rPr>
        <sz val="9"/>
        <color rgb="FF000000"/>
        <rFont val="Arial"/>
        <family val="2"/>
      </rPr>
      <t>SDY-5C47 (B)</t>
    </r>
  </si>
  <si>
    <r>
      <t xml:space="preserve">QVZ-5I60 / </t>
    </r>
    <r>
      <rPr>
        <sz val="9"/>
        <color rgb="FF000000"/>
        <rFont val="Arial"/>
        <family val="2"/>
      </rPr>
      <t>SDU-7B22 (B)</t>
    </r>
  </si>
  <si>
    <r>
      <t xml:space="preserve">QVZ5I60 / </t>
    </r>
    <r>
      <rPr>
        <sz val="9"/>
        <color rgb="FF000000"/>
        <rFont val="Arial"/>
        <family val="2"/>
      </rPr>
      <t>SDU-7B24 (B)</t>
    </r>
  </si>
  <si>
    <t>C R LTDA</t>
  </si>
  <si>
    <t>NSI-5D01</t>
  </si>
  <si>
    <t>04 PALETES</t>
  </si>
  <si>
    <t>LUBRIFICANTES</t>
  </si>
  <si>
    <t>BELMETAIS</t>
  </si>
  <si>
    <t>OAE-5900</t>
  </si>
  <si>
    <t>03 PALETES</t>
  </si>
  <si>
    <t>SUCATA</t>
  </si>
  <si>
    <t>MAVEX</t>
  </si>
  <si>
    <r>
      <t xml:space="preserve">JTV-4D08 / </t>
    </r>
    <r>
      <rPr>
        <sz val="9"/>
        <rFont val="Arial"/>
        <family val="2"/>
      </rPr>
      <t>PQP-0875</t>
    </r>
  </si>
  <si>
    <t>ARGAMASSA</t>
  </si>
  <si>
    <t>PETONY</t>
  </si>
  <si>
    <r>
      <t xml:space="preserve">PFS-0B95 / </t>
    </r>
    <r>
      <rPr>
        <sz val="9"/>
        <rFont val="Arial"/>
        <family val="2"/>
      </rPr>
      <t>SKH-1I27</t>
    </r>
  </si>
  <si>
    <t>BEBIDAS</t>
  </si>
  <si>
    <t>COMPAR</t>
  </si>
  <si>
    <r>
      <t xml:space="preserve">MLD-3B80 / </t>
    </r>
    <r>
      <rPr>
        <sz val="9"/>
        <rFont val="Arial"/>
        <family val="2"/>
      </rPr>
      <t>OAI-7786</t>
    </r>
  </si>
  <si>
    <t>26321 / 26322</t>
  </si>
  <si>
    <t>AGUA</t>
  </si>
  <si>
    <t>DHL</t>
  </si>
  <si>
    <r>
      <t xml:space="preserve">RIQ-9C99 / </t>
    </r>
    <r>
      <rPr>
        <sz val="9"/>
        <color rgb="FF000000"/>
        <rFont val="Arial"/>
        <family val="2"/>
      </rPr>
      <t>GFN-5I17</t>
    </r>
  </si>
  <si>
    <t>26 PALETES</t>
  </si>
  <si>
    <t>T NORTE</t>
  </si>
  <si>
    <r>
      <t xml:space="preserve">HGPD-9H89 / </t>
    </r>
    <r>
      <rPr>
        <sz val="9"/>
        <color rgb="FF000000"/>
        <rFont val="Arial"/>
        <family val="2"/>
      </rPr>
      <t>GXS-8H77</t>
    </r>
  </si>
  <si>
    <t>37789 / 37790 / 37791 / 37792</t>
  </si>
  <si>
    <t>24 P + 17 VOL</t>
  </si>
  <si>
    <t xml:space="preserve">BBT </t>
  </si>
  <si>
    <r>
      <rPr>
        <b/>
        <sz val="9"/>
        <color rgb="FF000000"/>
        <rFont val="Arial"/>
        <family val="2"/>
      </rPr>
      <t xml:space="preserve">NGU-8803 / </t>
    </r>
    <r>
      <rPr>
        <sz val="9"/>
        <color rgb="FF000000"/>
        <rFont val="Arial"/>
        <family val="2"/>
      </rPr>
      <t>NGX-2A03</t>
    </r>
  </si>
  <si>
    <t>22 PALETES</t>
  </si>
  <si>
    <r>
      <rPr>
        <b/>
        <sz val="9"/>
        <color rgb="FF000000"/>
        <rFont val="Arial"/>
        <family val="2"/>
      </rPr>
      <t xml:space="preserve">QTR-3A90 / </t>
    </r>
    <r>
      <rPr>
        <sz val="9"/>
        <color rgb="FF000000"/>
        <rFont val="Arial"/>
        <family val="2"/>
      </rPr>
      <t>GYB-4E50</t>
    </r>
  </si>
  <si>
    <t>30 PALETES</t>
  </si>
  <si>
    <t>ALCOA</t>
  </si>
  <si>
    <r>
      <rPr>
        <b/>
        <sz val="9"/>
        <color rgb="FF000000"/>
        <rFont val="Arial"/>
        <family val="2"/>
      </rPr>
      <t xml:space="preserve">CRY-7H41 / </t>
    </r>
    <r>
      <rPr>
        <sz val="9"/>
        <color rgb="FF000000"/>
        <rFont val="Arial"/>
        <family val="2"/>
      </rPr>
      <t>ESP-6J77</t>
    </r>
  </si>
  <si>
    <t>31 VOLUMES</t>
  </si>
  <si>
    <t>LINGOTE</t>
  </si>
  <si>
    <t>EMBARCADO CB-17032</t>
  </si>
  <si>
    <r>
      <rPr>
        <b/>
        <sz val="9"/>
        <color rgb="FF000000"/>
        <rFont val="Arial"/>
        <family val="2"/>
      </rPr>
      <t xml:space="preserve">BAG-8F86 / </t>
    </r>
    <r>
      <rPr>
        <sz val="9"/>
        <color rgb="FF000000"/>
        <rFont val="Arial"/>
        <family val="2"/>
      </rPr>
      <t>GIC-0J87</t>
    </r>
  </si>
  <si>
    <t>EMBARCADO CB-17033</t>
  </si>
  <si>
    <r>
      <rPr>
        <b/>
        <sz val="9"/>
        <color rgb="FF000000"/>
        <rFont val="Arial"/>
        <family val="2"/>
      </rPr>
      <t xml:space="preserve">ARO-4932 / </t>
    </r>
    <r>
      <rPr>
        <sz val="9"/>
        <color rgb="FF000000"/>
        <rFont val="Arial"/>
        <family val="2"/>
      </rPr>
      <t>OHA-6305</t>
    </r>
  </si>
  <si>
    <t>34 VOLUMES</t>
  </si>
  <si>
    <t>EMBARCADO CB-17034</t>
  </si>
  <si>
    <r>
      <t xml:space="preserve">MMM-8A44 / </t>
    </r>
    <r>
      <rPr>
        <sz val="9"/>
        <color rgb="FF000000"/>
        <rFont val="Arial"/>
        <family val="2"/>
      </rPr>
      <t>TBZ-0E66</t>
    </r>
  </si>
  <si>
    <t>VOLUMES</t>
  </si>
  <si>
    <t>STOCKTRANS</t>
  </si>
  <si>
    <t>AVU-7E99</t>
  </si>
  <si>
    <t>02 VOL + 01 P</t>
  </si>
  <si>
    <t>EMBARCADO CB-17035</t>
  </si>
  <si>
    <t>NUBIA</t>
  </si>
  <si>
    <t xml:space="preserve">HP LOGISTICA </t>
  </si>
  <si>
    <t>S/P</t>
  </si>
  <si>
    <t>CORRENTES E MANILHA</t>
  </si>
  <si>
    <t xml:space="preserve">  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</si>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</sst>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00"/>
    <numFmt numFmtId="166" formatCode="d/m/yy\ h:mm;@"/>
    <numFmt numFmtId="167" formatCode="0.000"/>
    <numFmt numFmtId="168" formatCode="&quot;TOTAL&quot;\ \ \ General"/>
    <numFmt numFmtId="169" formatCode="&quot;TOTAL&quot;\ General"/>
    <numFmt numFmtId="170" formatCode="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9"/>
      <color indexed="16"/>
      <name val="Times New Roman"/>
      <family val="1"/>
    </font>
    <font>
      <sz val="9"/>
      <color indexed="18"/>
      <name val="Times New Roman"/>
      <family val="1"/>
    </font>
    <font>
      <b/>
      <sz val="9"/>
      <color indexed="18"/>
      <name val="Times New Roman"/>
      <family val="1"/>
    </font>
    <font>
      <sz val="9"/>
      <color indexed="57"/>
      <name val="Times New Roman"/>
      <family val="1"/>
    </font>
    <font>
      <b/>
      <sz val="9"/>
      <color indexed="57"/>
      <name val="Times New Roman"/>
      <family val="1"/>
    </font>
    <font>
      <sz val="20"/>
      <name val="Arial"/>
      <family val="2"/>
    </font>
    <font>
      <b/>
      <sz val="10"/>
      <color indexed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66">
    <xf numFmtId="0" fontId="0" fillId="0" borderId="0"/>
    <xf numFmtId="44" fontId="29" fillId="0" borderId="0" applyFont="0" applyFill="0" applyBorder="0" applyAlignment="0" applyProtection="0"/>
    <xf numFmtId="0" fontId="14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31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2" fillId="0" borderId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1" fillId="0" borderId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1" fillId="0" borderId="0"/>
    <xf numFmtId="43" fontId="17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" fillId="0" borderId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" fillId="0" borderId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" fillId="0" borderId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" fillId="0" borderId="0"/>
    <xf numFmtId="43" fontId="17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9" fillId="0" borderId="0"/>
    <xf numFmtId="43" fontId="17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9" fillId="0" borderId="0"/>
    <xf numFmtId="43" fontId="17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9" fillId="0" borderId="0"/>
    <xf numFmtId="43" fontId="17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9" fillId="0" borderId="0"/>
    <xf numFmtId="43" fontId="17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7" fillId="0" borderId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7" fillId="0" borderId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7" fillId="0" borderId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7" fillId="0" borderId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5" fillId="0" borderId="0"/>
    <xf numFmtId="0" fontId="4" fillId="0" borderId="0"/>
    <xf numFmtId="44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" fillId="0" borderId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3" fillId="0" borderId="0"/>
    <xf numFmtId="0" fontId="3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" fillId="0" borderId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" fillId="0" borderId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" fillId="0" borderId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" fillId="0" borderId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36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/>
    <xf numFmtId="0" fontId="1" fillId="0" borderId="0"/>
    <xf numFmtId="44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1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18" fillId="2" borderId="5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64" fontId="18" fillId="2" borderId="0" xfId="0" applyNumberFormat="1" applyFont="1" applyFill="1" applyAlignment="1">
      <alignment horizontal="right" vertical="center"/>
    </xf>
    <xf numFmtId="164" fontId="18" fillId="2" borderId="5" xfId="0" applyNumberFormat="1" applyFont="1" applyFill="1" applyBorder="1" applyAlignment="1">
      <alignment vertical="center"/>
    </xf>
    <xf numFmtId="0" fontId="18" fillId="2" borderId="0" xfId="0" applyFont="1" applyFill="1"/>
    <xf numFmtId="0" fontId="0" fillId="2" borderId="6" xfId="0" applyFill="1" applyBorder="1"/>
    <xf numFmtId="0" fontId="0" fillId="2" borderId="7" xfId="0" applyFill="1" applyBorder="1"/>
    <xf numFmtId="0" fontId="18" fillId="2" borderId="7" xfId="0" applyFont="1" applyFill="1" applyBorder="1" applyAlignment="1">
      <alignment horizontal="left" vertical="center"/>
    </xf>
    <xf numFmtId="0" fontId="0" fillId="2" borderId="8" xfId="0" applyFill="1" applyBorder="1"/>
    <xf numFmtId="167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167" fontId="0" fillId="2" borderId="0" xfId="0" applyNumberFormat="1" applyFill="1" applyAlignment="1">
      <alignment horizontal="center" vertical="top"/>
    </xf>
    <xf numFmtId="11" fontId="0" fillId="2" borderId="0" xfId="0" applyNumberFormat="1" applyFill="1" applyAlignment="1">
      <alignment horizontal="center" vertical="top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19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167" fontId="0" fillId="0" borderId="0" xfId="0" applyNumberFormat="1" applyAlignment="1">
      <alignment horizontal="center" vertical="top"/>
    </xf>
    <xf numFmtId="167" fontId="0" fillId="0" borderId="0" xfId="0" applyNumberFormat="1"/>
    <xf numFmtId="49" fontId="26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top"/>
    </xf>
    <xf numFmtId="0" fontId="27" fillId="2" borderId="0" xfId="0" applyFont="1" applyFill="1" applyAlignment="1">
      <alignment vertical="top"/>
    </xf>
    <xf numFmtId="167" fontId="18" fillId="2" borderId="0" xfId="0" applyNumberFormat="1" applyFont="1" applyFill="1" applyAlignment="1">
      <alignment horizontal="center" vertical="top"/>
    </xf>
    <xf numFmtId="167" fontId="28" fillId="2" borderId="0" xfId="0" applyNumberFormat="1" applyFont="1" applyFill="1" applyAlignment="1">
      <alignment horizontal="center"/>
    </xf>
    <xf numFmtId="167" fontId="28" fillId="2" borderId="0" xfId="0" applyNumberFormat="1" applyFont="1" applyFill="1" applyAlignment="1">
      <alignment horizontal="center" vertical="top"/>
    </xf>
    <xf numFmtId="167" fontId="18" fillId="0" borderId="0" xfId="0" applyNumberFormat="1" applyFont="1" applyAlignment="1" applyProtection="1">
      <alignment horizontal="center" vertical="center" wrapText="1"/>
      <protection locked="0"/>
    </xf>
    <xf numFmtId="167" fontId="20" fillId="3" borderId="10" xfId="0" applyNumberFormat="1" applyFont="1" applyFill="1" applyBorder="1" applyAlignment="1" applyProtection="1">
      <alignment horizontal="center" vertical="top"/>
      <protection locked="0"/>
    </xf>
    <xf numFmtId="167" fontId="22" fillId="4" borderId="10" xfId="0" applyNumberFormat="1" applyFont="1" applyFill="1" applyBorder="1" applyAlignment="1" applyProtection="1">
      <alignment horizontal="center" vertical="top"/>
      <protection locked="0"/>
    </xf>
    <xf numFmtId="167" fontId="24" fillId="5" borderId="10" xfId="0" applyNumberFormat="1" applyFont="1" applyFill="1" applyBorder="1" applyAlignment="1" applyProtection="1">
      <alignment horizontal="center" vertical="top"/>
      <protection locked="0"/>
    </xf>
    <xf numFmtId="167" fontId="20" fillId="6" borderId="10" xfId="0" applyNumberFormat="1" applyFont="1" applyFill="1" applyBorder="1" applyAlignment="1" applyProtection="1">
      <alignment horizontal="center" vertical="top"/>
      <protection locked="0"/>
    </xf>
    <xf numFmtId="49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22" fillId="4" borderId="12" xfId="0" applyNumberFormat="1" applyFont="1" applyFill="1" applyBorder="1" applyAlignment="1" applyProtection="1">
      <alignment horizontal="center" vertical="center" wrapText="1"/>
      <protection locked="0"/>
    </xf>
    <xf numFmtId="49" fontId="24" fillId="5" borderId="11" xfId="0" applyNumberFormat="1" applyFont="1" applyFill="1" applyBorder="1" applyAlignment="1" applyProtection="1">
      <alignment horizontal="center" vertical="center" wrapText="1"/>
      <protection locked="0"/>
    </xf>
    <xf numFmtId="167" fontId="20" fillId="6" borderId="11" xfId="0" applyNumberFormat="1" applyFont="1" applyFill="1" applyBorder="1" applyAlignment="1" applyProtection="1">
      <alignment horizontal="center" vertical="center" wrapText="1"/>
      <protection locked="0"/>
    </xf>
    <xf numFmtId="167" fontId="20" fillId="6" borderId="10" xfId="0" applyNumberFormat="1" applyFont="1" applyFill="1" applyBorder="1" applyAlignment="1" applyProtection="1">
      <alignment horizontal="center" vertical="center" wrapText="1"/>
      <protection locked="0"/>
    </xf>
    <xf numFmtId="167" fontId="21" fillId="2" borderId="10" xfId="0" applyNumberFormat="1" applyFont="1" applyFill="1" applyBorder="1" applyAlignment="1">
      <alignment horizontal="center" vertical="top"/>
    </xf>
    <xf numFmtId="49" fontId="21" fillId="2" borderId="11" xfId="0" applyNumberFormat="1" applyFont="1" applyFill="1" applyBorder="1" applyAlignment="1">
      <alignment horizontal="center" vertical="top" wrapText="1"/>
    </xf>
    <xf numFmtId="49" fontId="21" fillId="2" borderId="13" xfId="0" applyNumberFormat="1" applyFont="1" applyFill="1" applyBorder="1" applyAlignment="1">
      <alignment horizontal="center" vertical="top" wrapText="1"/>
    </xf>
    <xf numFmtId="167" fontId="23" fillId="2" borderId="10" xfId="0" applyNumberFormat="1" applyFont="1" applyFill="1" applyBorder="1" applyAlignment="1">
      <alignment horizontal="center" vertical="top"/>
    </xf>
    <xf numFmtId="49" fontId="23" fillId="2" borderId="11" xfId="0" applyNumberFormat="1" applyFont="1" applyFill="1" applyBorder="1" applyAlignment="1">
      <alignment horizontal="center" vertical="top" wrapText="1"/>
    </xf>
    <xf numFmtId="49" fontId="23" fillId="2" borderId="13" xfId="0" applyNumberFormat="1" applyFont="1" applyFill="1" applyBorder="1" applyAlignment="1">
      <alignment horizontal="center" vertical="top" wrapText="1"/>
    </xf>
    <xf numFmtId="49" fontId="20" fillId="3" borderId="14" xfId="0" applyNumberFormat="1" applyFont="1" applyFill="1" applyBorder="1" applyAlignment="1" applyProtection="1">
      <alignment horizontal="center" vertical="center" wrapText="1"/>
      <protection locked="0"/>
    </xf>
    <xf numFmtId="167" fontId="20" fillId="3" borderId="15" xfId="0" applyNumberFormat="1" applyFont="1" applyFill="1" applyBorder="1" applyAlignment="1" applyProtection="1">
      <alignment horizontal="center" vertical="top"/>
      <protection locked="0"/>
    </xf>
    <xf numFmtId="167" fontId="21" fillId="2" borderId="15" xfId="0" applyNumberFormat="1" applyFont="1" applyFill="1" applyBorder="1" applyAlignment="1">
      <alignment horizontal="center" vertical="top"/>
    </xf>
    <xf numFmtId="167" fontId="22" fillId="4" borderId="15" xfId="0" applyNumberFormat="1" applyFont="1" applyFill="1" applyBorder="1" applyAlignment="1" applyProtection="1">
      <alignment horizontal="center" vertical="top"/>
      <protection locked="0"/>
    </xf>
    <xf numFmtId="167" fontId="23" fillId="2" borderId="15" xfId="0" applyNumberFormat="1" applyFont="1" applyFill="1" applyBorder="1" applyAlignment="1">
      <alignment horizontal="center" vertical="top"/>
    </xf>
    <xf numFmtId="167" fontId="24" fillId="5" borderId="15" xfId="0" applyNumberFormat="1" applyFont="1" applyFill="1" applyBorder="1" applyAlignment="1" applyProtection="1">
      <alignment horizontal="center" vertical="top"/>
      <protection locked="0"/>
    </xf>
    <xf numFmtId="167" fontId="20" fillId="6" borderId="15" xfId="0" applyNumberFormat="1" applyFont="1" applyFill="1" applyBorder="1" applyAlignment="1" applyProtection="1">
      <alignment horizontal="center" vertical="top"/>
      <protection locked="0"/>
    </xf>
    <xf numFmtId="14" fontId="0" fillId="0" borderId="0" xfId="0" applyNumberFormat="1"/>
    <xf numFmtId="164" fontId="18" fillId="0" borderId="17" xfId="0" applyNumberFormat="1" applyFont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 wrapText="1"/>
      <protection locked="0"/>
    </xf>
    <xf numFmtId="1" fontId="18" fillId="0" borderId="18" xfId="0" applyNumberFormat="1" applyFont="1" applyBorder="1" applyAlignment="1" applyProtection="1">
      <alignment horizontal="center" vertical="center" wrapText="1"/>
      <protection locked="0"/>
    </xf>
    <xf numFmtId="170" fontId="18" fillId="0" borderId="18" xfId="0" applyNumberFormat="1" applyFont="1" applyBorder="1" applyAlignment="1" applyProtection="1">
      <alignment horizontal="center" vertical="center" wrapText="1"/>
      <protection locked="0"/>
    </xf>
    <xf numFmtId="167" fontId="18" fillId="0" borderId="19" xfId="0" applyNumberFormat="1" applyFont="1" applyBorder="1" applyAlignment="1" applyProtection="1">
      <alignment horizontal="center" vertical="center" wrapText="1"/>
      <protection locked="0"/>
    </xf>
    <xf numFmtId="0" fontId="17" fillId="7" borderId="0" xfId="0" applyFont="1" applyFill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 wrapText="1"/>
      <protection locked="0"/>
    </xf>
    <xf numFmtId="1" fontId="18" fillId="7" borderId="0" xfId="0" applyNumberFormat="1" applyFont="1" applyFill="1" applyAlignment="1" applyProtection="1">
      <alignment horizontal="center" vertical="center" wrapText="1"/>
      <protection locked="0"/>
    </xf>
    <xf numFmtId="164" fontId="18" fillId="7" borderId="0" xfId="0" applyNumberFormat="1" applyFont="1" applyFill="1" applyAlignment="1" applyProtection="1">
      <alignment horizontal="center" vertical="center"/>
      <protection locked="0"/>
    </xf>
    <xf numFmtId="170" fontId="18" fillId="7" borderId="0" xfId="0" applyNumberFormat="1" applyFont="1" applyFill="1" applyAlignment="1" applyProtection="1">
      <alignment horizontal="center" vertical="center" wrapText="1"/>
      <protection locked="0"/>
    </xf>
    <xf numFmtId="167" fontId="18" fillId="7" borderId="0" xfId="0" applyNumberFormat="1" applyFont="1" applyFill="1" applyAlignment="1" applyProtection="1">
      <alignment horizontal="center" vertical="center" wrapText="1"/>
      <protection locked="0"/>
    </xf>
    <xf numFmtId="0" fontId="0" fillId="7" borderId="0" xfId="0" applyFill="1" applyProtection="1">
      <protection locked="0"/>
    </xf>
    <xf numFmtId="165" fontId="18" fillId="0" borderId="18" xfId="0" applyNumberFormat="1" applyFont="1" applyBorder="1" applyAlignment="1" applyProtection="1">
      <alignment horizontal="center" vertical="center"/>
      <protection locked="0"/>
    </xf>
    <xf numFmtId="165" fontId="18" fillId="0" borderId="0" xfId="0" applyNumberFormat="1" applyFont="1" applyAlignment="1" applyProtection="1">
      <alignment horizontal="center" vertical="center"/>
      <protection locked="0"/>
    </xf>
    <xf numFmtId="0" fontId="18" fillId="7" borderId="20" xfId="0" applyFont="1" applyFill="1" applyBorder="1" applyAlignment="1">
      <alignment horizontal="center" vertical="center"/>
    </xf>
    <xf numFmtId="164" fontId="32" fillId="7" borderId="9" xfId="0" applyNumberFormat="1" applyFont="1" applyFill="1" applyBorder="1" applyAlignment="1" applyProtection="1">
      <alignment horizontal="center" vertical="center"/>
      <protection locked="0"/>
    </xf>
    <xf numFmtId="0" fontId="32" fillId="7" borderId="9" xfId="0" applyFont="1" applyFill="1" applyBorder="1" applyAlignment="1" applyProtection="1">
      <alignment horizontal="center" vertical="center" wrapText="1"/>
      <protection locked="0"/>
    </xf>
    <xf numFmtId="1" fontId="32" fillId="7" borderId="9" xfId="0" applyNumberFormat="1" applyFont="1" applyFill="1" applyBorder="1" applyAlignment="1" applyProtection="1">
      <alignment horizontal="center" vertical="center" wrapText="1"/>
      <protection locked="0"/>
    </xf>
    <xf numFmtId="167" fontId="32" fillId="7" borderId="9" xfId="0" applyNumberFormat="1" applyFont="1" applyFill="1" applyBorder="1" applyAlignment="1" applyProtection="1">
      <alignment horizontal="center" vertical="center" wrapText="1"/>
      <protection locked="0"/>
    </xf>
    <xf numFmtId="0" fontId="33" fillId="7" borderId="0" xfId="0" applyFont="1" applyFill="1" applyAlignment="1" applyProtection="1">
      <alignment horizontal="center" vertical="center"/>
      <protection locked="0"/>
    </xf>
    <xf numFmtId="1" fontId="33" fillId="7" borderId="9" xfId="0" applyNumberFormat="1" applyFont="1" applyFill="1" applyBorder="1" applyAlignment="1">
      <alignment horizontal="center" vertical="center" shrinkToFit="1"/>
    </xf>
    <xf numFmtId="0" fontId="33" fillId="7" borderId="9" xfId="0" applyFont="1" applyFill="1" applyBorder="1" applyAlignment="1">
      <alignment horizontal="center" vertical="center" wrapText="1"/>
    </xf>
    <xf numFmtId="0" fontId="33" fillId="7" borderId="9" xfId="0" applyFont="1" applyFill="1" applyBorder="1" applyAlignment="1">
      <alignment horizontal="center" vertical="top" wrapText="1"/>
    </xf>
    <xf numFmtId="1" fontId="33" fillId="7" borderId="9" xfId="0" applyNumberFormat="1" applyFont="1" applyFill="1" applyBorder="1" applyAlignment="1">
      <alignment horizontal="center" vertical="top" shrinkToFit="1"/>
    </xf>
    <xf numFmtId="44" fontId="33" fillId="7" borderId="9" xfId="1" applyFont="1" applyFill="1" applyBorder="1" applyAlignment="1">
      <alignment vertical="center" shrinkToFit="1"/>
    </xf>
    <xf numFmtId="22" fontId="33" fillId="7" borderId="9" xfId="0" applyNumberFormat="1" applyFont="1" applyFill="1" applyBorder="1" applyAlignment="1">
      <alignment horizontal="center" vertical="top" wrapText="1"/>
    </xf>
    <xf numFmtId="0" fontId="32" fillId="7" borderId="9" xfId="0" applyFont="1" applyFill="1" applyBorder="1" applyAlignment="1">
      <alignment horizontal="center" vertical="center"/>
    </xf>
    <xf numFmtId="0" fontId="34" fillId="7" borderId="21" xfId="0" applyFont="1" applyFill="1" applyBorder="1" applyAlignment="1">
      <alignment horizontal="center" vertical="top" wrapText="1"/>
    </xf>
    <xf numFmtId="1" fontId="33" fillId="7" borderId="9" xfId="0" applyNumberFormat="1" applyFont="1" applyFill="1" applyBorder="1" applyAlignment="1" applyProtection="1">
      <alignment horizontal="center" vertical="center" wrapText="1"/>
      <protection locked="0"/>
    </xf>
    <xf numFmtId="0" fontId="33" fillId="7" borderId="9" xfId="0" applyFont="1" applyFill="1" applyBorder="1" applyAlignment="1" applyProtection="1">
      <alignment horizontal="center" vertical="center"/>
      <protection locked="0"/>
    </xf>
    <xf numFmtId="0" fontId="33" fillId="0" borderId="9" xfId="0" applyFont="1" applyBorder="1" applyAlignment="1">
      <alignment horizontal="center" vertical="top" wrapText="1"/>
    </xf>
    <xf numFmtId="22" fontId="33" fillId="7" borderId="9" xfId="0" applyNumberFormat="1" applyFont="1" applyFill="1" applyBorder="1" applyAlignment="1" applyProtection="1">
      <alignment horizontal="center" vertical="center"/>
      <protection locked="0"/>
    </xf>
    <xf numFmtId="44" fontId="33" fillId="7" borderId="9" xfId="739" applyFont="1" applyFill="1" applyBorder="1" applyAlignment="1">
      <alignment vertical="center" shrinkToFit="1"/>
    </xf>
    <xf numFmtId="0" fontId="33" fillId="7" borderId="21" xfId="0" applyFont="1" applyFill="1" applyBorder="1" applyAlignment="1" applyProtection="1">
      <alignment horizontal="center" vertical="center" wrapText="1"/>
      <protection locked="0"/>
    </xf>
    <xf numFmtId="164" fontId="33" fillId="7" borderId="9" xfId="0" applyNumberFormat="1" applyFont="1" applyFill="1" applyBorder="1" applyAlignment="1">
      <alignment horizontal="center" vertical="center" shrinkToFit="1"/>
    </xf>
    <xf numFmtId="165" fontId="33" fillId="7" borderId="9" xfId="0" applyNumberFormat="1" applyFont="1" applyFill="1" applyBorder="1" applyAlignment="1" applyProtection="1">
      <alignment horizontal="center" vertical="center"/>
      <protection locked="0"/>
    </xf>
    <xf numFmtId="0" fontId="32" fillId="7" borderId="9" xfId="0" applyFont="1" applyFill="1" applyBorder="1" applyAlignment="1">
      <alignment horizontal="center" vertical="top" wrapText="1"/>
    </xf>
    <xf numFmtId="0" fontId="32" fillId="7" borderId="21" xfId="0" applyFont="1" applyFill="1" applyBorder="1" applyAlignment="1">
      <alignment horizontal="center" vertical="top" wrapText="1"/>
    </xf>
    <xf numFmtId="165" fontId="32" fillId="7" borderId="9" xfId="0" applyNumberFormat="1" applyFont="1" applyFill="1" applyBorder="1" applyAlignment="1" applyProtection="1">
      <alignment horizontal="center" vertical="center"/>
      <protection locked="0"/>
    </xf>
    <xf numFmtId="1" fontId="33" fillId="0" borderId="21" xfId="0" applyNumberFormat="1" applyFont="1" applyBorder="1" applyAlignment="1">
      <alignment horizontal="center" vertical="top" shrinkToFit="1"/>
    </xf>
    <xf numFmtId="44" fontId="33" fillId="0" borderId="9" xfId="1" applyFont="1" applyFill="1" applyBorder="1" applyAlignment="1">
      <alignment vertical="center" shrinkToFit="1"/>
    </xf>
    <xf numFmtId="0" fontId="33" fillId="0" borderId="9" xfId="0" applyFont="1" applyBorder="1" applyAlignment="1">
      <alignment horizontal="center" vertical="center" wrapText="1"/>
    </xf>
    <xf numFmtId="1" fontId="33" fillId="0" borderId="9" xfId="0" applyNumberFormat="1" applyFont="1" applyBorder="1" applyAlignment="1">
      <alignment horizontal="center" vertical="top" shrinkToFit="1"/>
    </xf>
    <xf numFmtId="22" fontId="33" fillId="0" borderId="9" xfId="0" applyNumberFormat="1" applyFont="1" applyBorder="1" applyAlignment="1">
      <alignment horizontal="center" vertical="top" wrapText="1"/>
    </xf>
    <xf numFmtId="169" fontId="25" fillId="0" borderId="0" xfId="0" applyNumberFormat="1" applyFont="1" applyAlignment="1">
      <alignment horizontal="center" vertical="center" textRotation="90"/>
    </xf>
    <xf numFmtId="0" fontId="32" fillId="7" borderId="9" xfId="0" applyFont="1" applyFill="1" applyBorder="1" applyAlignment="1" applyProtection="1">
      <alignment horizontal="center" vertical="center"/>
      <protection locked="0"/>
    </xf>
    <xf numFmtId="1" fontId="33" fillId="7" borderId="21" xfId="0" applyNumberFormat="1" applyFont="1" applyFill="1" applyBorder="1" applyAlignment="1">
      <alignment horizontal="center" vertical="top" shrinkToFit="1"/>
    </xf>
    <xf numFmtId="0" fontId="33" fillId="8" borderId="9" xfId="0" applyFont="1" applyFill="1" applyBorder="1" applyAlignment="1">
      <alignment horizontal="center" vertical="top" wrapText="1"/>
    </xf>
    <xf numFmtId="0" fontId="34" fillId="8" borderId="21" xfId="0" applyFont="1" applyFill="1" applyBorder="1" applyAlignment="1">
      <alignment horizontal="center" vertical="top" wrapText="1"/>
    </xf>
    <xf numFmtId="0" fontId="32" fillId="8" borderId="9" xfId="0" applyFont="1" applyFill="1" applyBorder="1" applyAlignment="1">
      <alignment horizontal="center" vertical="center"/>
    </xf>
    <xf numFmtId="0" fontId="32" fillId="8" borderId="9" xfId="0" applyFont="1" applyFill="1" applyBorder="1" applyAlignment="1" applyProtection="1">
      <alignment horizontal="center" vertical="center"/>
      <protection locked="0"/>
    </xf>
    <xf numFmtId="0" fontId="33" fillId="0" borderId="21" xfId="0" applyFont="1" applyBorder="1" applyAlignment="1" applyProtection="1">
      <alignment horizontal="center" vertical="center" wrapText="1"/>
      <protection locked="0"/>
    </xf>
    <xf numFmtId="0" fontId="33" fillId="0" borderId="21" xfId="785" applyNumberFormat="1" applyFont="1" applyFill="1" applyBorder="1" applyAlignment="1">
      <alignment horizontal="center" vertical="top" wrapText="1"/>
    </xf>
    <xf numFmtId="0" fontId="33" fillId="9" borderId="9" xfId="0" applyFont="1" applyFill="1" applyBorder="1" applyAlignment="1">
      <alignment horizontal="center" vertical="top" wrapText="1"/>
    </xf>
    <xf numFmtId="0" fontId="32" fillId="9" borderId="21" xfId="0" applyFont="1" applyFill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center"/>
    </xf>
    <xf numFmtId="169" fontId="25" fillId="0" borderId="0" xfId="0" applyNumberFormat="1" applyFont="1" applyAlignment="1">
      <alignment horizontal="center" vertical="center" textRotation="90"/>
    </xf>
    <xf numFmtId="0" fontId="19" fillId="2" borderId="1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/>
    <xf numFmtId="166" fontId="18" fillId="2" borderId="7" xfId="0" applyNumberFormat="1" applyFont="1" applyFill="1" applyBorder="1" applyAlignment="1">
      <alignment horizontal="left" vertical="center"/>
    </xf>
    <xf numFmtId="168" fontId="25" fillId="0" borderId="0" xfId="0" applyNumberFormat="1" applyFont="1" applyAlignment="1">
      <alignment horizontal="center" vertical="center" textRotation="90"/>
    </xf>
  </cellXfs>
  <cellStyles count="1566">
    <cellStyle name="Hiperlink 2" xfId="3" xr:uid="{00000000-0005-0000-0000-000000000000}"/>
    <cellStyle name="Moeda" xfId="1" builtinId="4"/>
    <cellStyle name="Moeda 10" xfId="739" xr:uid="{4D3CE40A-FE47-4453-BDBF-D04C4577A511}"/>
    <cellStyle name="Moeda 10 2" xfId="1520" xr:uid="{1DB58D60-20DD-49DB-8AC5-B9A33E983E47}"/>
    <cellStyle name="Moeda 11" xfId="786" xr:uid="{0B14BA30-E161-45A0-ADEB-53482E698AE8}"/>
    <cellStyle name="Moeda 2" xfId="15" xr:uid="{39169DFE-F0C7-44F4-8A33-51C4FBED9970}"/>
    <cellStyle name="Moeda 2 10" xfId="750" xr:uid="{4553E01B-4C57-4DC4-92CF-056A80765C3E}"/>
    <cellStyle name="Moeda 2 10 2" xfId="1531" xr:uid="{F488CA66-5211-4EFA-9E43-3A99FF66051C}"/>
    <cellStyle name="Moeda 2 11" xfId="796" xr:uid="{3531DA7F-62AF-47F4-8779-07EE9082B483}"/>
    <cellStyle name="Moeda 2 2" xfId="37" xr:uid="{D385ECFC-134A-4BD9-A9FA-7D588E707D17}"/>
    <cellStyle name="Moeda 2 2 10" xfId="818" xr:uid="{EE0E96DA-709C-4B6F-ACE1-7C0F88260FC6}"/>
    <cellStyle name="Moeda 2 2 2" xfId="94" xr:uid="{ED0C1CF5-21AD-45E3-A68F-68191E7C19C0}"/>
    <cellStyle name="Moeda 2 2 2 2" xfId="140" xr:uid="{14BD6F5E-4AD0-44CC-A9F0-7FA0AA317023}"/>
    <cellStyle name="Moeda 2 2 2 2 2" xfId="277" xr:uid="{AD490E90-8354-409F-9579-C2F6D590DFAE}"/>
    <cellStyle name="Moeda 2 2 2 2 2 2" xfId="644" xr:uid="{FFF78984-6FD4-4B15-8F85-16409A8D9F7F}"/>
    <cellStyle name="Moeda 2 2 2 2 2 2 2" xfId="1425" xr:uid="{C2BDF718-80E7-4477-9A9F-146217DF70BE}"/>
    <cellStyle name="Moeda 2 2 2 2 2 3" xfId="1058" xr:uid="{A82CD545-72F7-4E79-A79E-E4FF5A2E2B2E}"/>
    <cellStyle name="Moeda 2 2 2 2 3" xfId="507" xr:uid="{217CC4D6-C899-418B-81A7-8C7470191507}"/>
    <cellStyle name="Moeda 2 2 2 2 3 2" xfId="1288" xr:uid="{24B08657-4D61-4513-89AB-A8742A3B5828}"/>
    <cellStyle name="Moeda 2 2 2 2 4" xfId="921" xr:uid="{212543B8-EBEA-44D6-9362-BC15593532DC}"/>
    <cellStyle name="Moeda 2 2 2 3" xfId="186" xr:uid="{7A4785C7-C87C-43BF-B627-E000FDD16B83}"/>
    <cellStyle name="Moeda 2 2 2 3 2" xfId="553" xr:uid="{8950751C-FF5F-4259-96E1-EBB8D40A66D1}"/>
    <cellStyle name="Moeda 2 2 2 3 2 2" xfId="1334" xr:uid="{24DEAEEF-B6EA-4F5C-A205-B86595BD7EF4}"/>
    <cellStyle name="Moeda 2 2 2 3 3" xfId="967" xr:uid="{DCC3AD8C-438C-48E3-BA20-6534EFD8D41B}"/>
    <cellStyle name="Moeda 2 2 2 4" xfId="323" xr:uid="{0C2EA504-99E2-484C-892D-BFDB1B7D0529}"/>
    <cellStyle name="Moeda 2 2 2 4 2" xfId="690" xr:uid="{F6E8359D-A593-4FB8-BEB5-2979DBD22FEE}"/>
    <cellStyle name="Moeda 2 2 2 4 2 2" xfId="1471" xr:uid="{E4FF0442-291B-41CE-B3B9-1D73AD619E58}"/>
    <cellStyle name="Moeda 2 2 2 4 3" xfId="1104" xr:uid="{5DC19EB0-8C75-42E9-9D27-24984F3FFA59}"/>
    <cellStyle name="Moeda 2 2 2 5" xfId="369" xr:uid="{90B32E2A-721F-49D5-9E04-6383BBF7F951}"/>
    <cellStyle name="Moeda 2 2 2 5 2" xfId="736" xr:uid="{5EBBC089-7F99-4988-91DA-4951F432AD78}"/>
    <cellStyle name="Moeda 2 2 2 5 2 2" xfId="1517" xr:uid="{BD62A000-E0A0-473E-A873-2ACD0A0930F7}"/>
    <cellStyle name="Moeda 2 2 2 5 3" xfId="1150" xr:uid="{59E76F69-1B1A-4696-BACB-54902B25D69D}"/>
    <cellStyle name="Moeda 2 2 2 6" xfId="461" xr:uid="{28E6444F-8327-4E84-8C7C-DFCC021009DF}"/>
    <cellStyle name="Moeda 2 2 2 6 2" xfId="1242" xr:uid="{BBAEF3AA-6635-4F92-9346-790A69B3F1D1}"/>
    <cellStyle name="Moeda 2 2 2 7" xfId="784" xr:uid="{135EE40A-2AC9-4E6D-895D-AB0253684760}"/>
    <cellStyle name="Moeda 2 2 2 7 2" xfId="1565" xr:uid="{91AD9B4C-46A2-4AB9-9F77-E79066BA7C7D}"/>
    <cellStyle name="Moeda 2 2 2 8" xfId="875" xr:uid="{1B670651-5FE1-41A2-9519-02BDB27F1CB0}"/>
    <cellStyle name="Moeda 2 2 3" xfId="82" xr:uid="{BCBDBB71-67A4-4329-A905-8E94738442AF}"/>
    <cellStyle name="Moeda 2 2 3 2" xfId="220" xr:uid="{E08C2792-1A86-475B-89A0-E90FC67E9551}"/>
    <cellStyle name="Moeda 2 2 3 2 2" xfId="587" xr:uid="{7699FD66-ECE1-4CF7-96D6-B8BD4E6B8317}"/>
    <cellStyle name="Moeda 2 2 3 2 2 2" xfId="1368" xr:uid="{88AACEEC-394D-4116-AFEF-45DF95D8D9AA}"/>
    <cellStyle name="Moeda 2 2 3 2 3" xfId="1001" xr:uid="{05B98B40-CDB3-4483-B505-8A4105F30224}"/>
    <cellStyle name="Moeda 2 2 3 3" xfId="449" xr:uid="{A593169F-B413-4E55-BEC5-133718CFED9E}"/>
    <cellStyle name="Moeda 2 2 3 3 2" xfId="1230" xr:uid="{D209A180-DB5A-46DE-B4B1-129898D39803}"/>
    <cellStyle name="Moeda 2 2 3 4" xfId="863" xr:uid="{8F89510D-6ADE-4D0D-8F10-0640BDC8FCFC}"/>
    <cellStyle name="Moeda 2 2 4" xfId="128" xr:uid="{BB04A2EF-0F22-4B74-A657-E3B66E3C4ABF}"/>
    <cellStyle name="Moeda 2 2 4 2" xfId="265" xr:uid="{569A3215-0685-424A-A1D5-B5746AA9F55C}"/>
    <cellStyle name="Moeda 2 2 4 2 2" xfId="632" xr:uid="{0F026253-C71E-4E34-94B9-AE1F9B0F276C}"/>
    <cellStyle name="Moeda 2 2 4 2 2 2" xfId="1413" xr:uid="{FDE3DF72-D96B-4840-93F6-CA76E0841167}"/>
    <cellStyle name="Moeda 2 2 4 2 3" xfId="1046" xr:uid="{9520FBE6-1C68-433E-85B7-FC4B619AD7DB}"/>
    <cellStyle name="Moeda 2 2 4 3" xfId="495" xr:uid="{59B18543-DEE8-49AA-B7A4-5F56E6E6D407}"/>
    <cellStyle name="Moeda 2 2 4 3 2" xfId="1276" xr:uid="{AB578532-615E-4B49-830A-139FABDB82A6}"/>
    <cellStyle name="Moeda 2 2 4 4" xfId="909" xr:uid="{1E840861-97B3-4DF2-9BC4-CB736279D7A3}"/>
    <cellStyle name="Moeda 2 2 5" xfId="174" xr:uid="{B88009D5-8D14-4295-9246-73507031BE70}"/>
    <cellStyle name="Moeda 2 2 5 2" xfId="541" xr:uid="{21CA5C84-AE0A-4882-B159-19163DA25D56}"/>
    <cellStyle name="Moeda 2 2 5 2 2" xfId="1322" xr:uid="{1165F632-D65E-45C5-AD8D-979E544AF8CB}"/>
    <cellStyle name="Moeda 2 2 5 3" xfId="955" xr:uid="{F813C83E-185C-4B7D-9D56-243F4173109A}"/>
    <cellStyle name="Moeda 2 2 6" xfId="311" xr:uid="{211A631F-E6E8-4AC7-B934-4CEBBBF075A7}"/>
    <cellStyle name="Moeda 2 2 6 2" xfId="678" xr:uid="{9F0C4806-2B19-459D-9DFC-74153199BE3C}"/>
    <cellStyle name="Moeda 2 2 6 2 2" xfId="1459" xr:uid="{59F3B042-C180-4D66-AAE4-D7853AE8B3FB}"/>
    <cellStyle name="Moeda 2 2 6 3" xfId="1092" xr:uid="{21D3CE06-1E1D-4C83-985D-BA5D3F2EB59A}"/>
    <cellStyle name="Moeda 2 2 7" xfId="357" xr:uid="{35E3C740-4B93-464B-8440-B88031B7B5A2}"/>
    <cellStyle name="Moeda 2 2 7 2" xfId="724" xr:uid="{E61E7534-E0CA-4364-AC74-D882DB6DD8D7}"/>
    <cellStyle name="Moeda 2 2 7 2 2" xfId="1505" xr:uid="{A3D61AB7-8298-4399-87A1-63AE890C65AC}"/>
    <cellStyle name="Moeda 2 2 7 3" xfId="1138" xr:uid="{C8A26F3C-99CF-430D-909E-8843E189D48A}"/>
    <cellStyle name="Moeda 2 2 8" xfId="404" xr:uid="{5FFD4B99-9D3C-49FD-AA93-22BD19998263}"/>
    <cellStyle name="Moeda 2 2 8 2" xfId="1185" xr:uid="{BB7A1CDB-39F6-4E0F-AF38-3BA454D503BB}"/>
    <cellStyle name="Moeda 2 2 9" xfId="772" xr:uid="{A405894A-7567-454E-A233-5A692814D412}"/>
    <cellStyle name="Moeda 2 2 9 2" xfId="1553" xr:uid="{E0A4D7ED-6203-423C-8AF1-ED4B752C8059}"/>
    <cellStyle name="Moeda 2 3" xfId="48" xr:uid="{B9A97FDF-926F-4795-9061-C8427B0F7C60}"/>
    <cellStyle name="Moeda 2 3 2" xfId="93" xr:uid="{7B23206C-4740-431E-864E-3C6D2C3C067F}"/>
    <cellStyle name="Moeda 2 3 2 2" xfId="231" xr:uid="{8BF4186B-6A9F-424B-8C81-C91BD9B7DFE0}"/>
    <cellStyle name="Moeda 2 3 2 2 2" xfId="598" xr:uid="{2FDD644F-ABA5-4BD5-9523-C5729AD0A4F4}"/>
    <cellStyle name="Moeda 2 3 2 2 2 2" xfId="1379" xr:uid="{EBB41D5E-3196-46A5-AEFE-7F469A7FE1CD}"/>
    <cellStyle name="Moeda 2 3 2 2 3" xfId="1012" xr:uid="{5D89E0E5-72A9-4EB4-BC9A-CDCD45209FAF}"/>
    <cellStyle name="Moeda 2 3 2 3" xfId="460" xr:uid="{57BB1DD4-923C-49E8-926B-7CF5D591CD4F}"/>
    <cellStyle name="Moeda 2 3 2 3 2" xfId="1241" xr:uid="{C47A072C-61DE-45B9-A5CD-50DE46E3FEB2}"/>
    <cellStyle name="Moeda 2 3 2 4" xfId="874" xr:uid="{5D0135E6-AA1D-4875-8B81-3F2259877541}"/>
    <cellStyle name="Moeda 2 3 3" xfId="139" xr:uid="{56C14CDE-D5C3-45BF-8323-45DA9B3AE380}"/>
    <cellStyle name="Moeda 2 3 3 2" xfId="276" xr:uid="{0A332CF5-E12E-4E53-B226-9301C93E0E52}"/>
    <cellStyle name="Moeda 2 3 3 2 2" xfId="643" xr:uid="{8BFE4827-BDF1-4EC8-A508-18F87DFA4369}"/>
    <cellStyle name="Moeda 2 3 3 2 2 2" xfId="1424" xr:uid="{14C8C0F2-51C0-4AF9-BC00-854C8132B516}"/>
    <cellStyle name="Moeda 2 3 3 2 3" xfId="1057" xr:uid="{729B4270-953B-46EE-97A7-7D116AFB90CE}"/>
    <cellStyle name="Moeda 2 3 3 3" xfId="506" xr:uid="{21BD8C98-438C-4F7D-ADE3-28DA759975BE}"/>
    <cellStyle name="Moeda 2 3 3 3 2" xfId="1287" xr:uid="{E84C5D1E-1902-4078-8A52-0F71B9426ACF}"/>
    <cellStyle name="Moeda 2 3 3 4" xfId="920" xr:uid="{03BC4E97-E054-45E3-A941-9EECB7911EB4}"/>
    <cellStyle name="Moeda 2 3 4" xfId="185" xr:uid="{DD0CED51-47D2-4619-AA40-0B07A5788ED8}"/>
    <cellStyle name="Moeda 2 3 4 2" xfId="552" xr:uid="{03460C4A-92B8-46E5-837C-ACDFD9834F02}"/>
    <cellStyle name="Moeda 2 3 4 2 2" xfId="1333" xr:uid="{E3446B23-BD80-47E2-A2BD-4DFAF956C43C}"/>
    <cellStyle name="Moeda 2 3 4 3" xfId="966" xr:uid="{0F3AA580-5572-4CA9-80B9-7C75366838B4}"/>
    <cellStyle name="Moeda 2 3 5" xfId="322" xr:uid="{46E50556-C075-4D6D-A952-EC80AA874536}"/>
    <cellStyle name="Moeda 2 3 5 2" xfId="689" xr:uid="{D882BC09-E23F-47AF-BAA4-50CDD2F89226}"/>
    <cellStyle name="Moeda 2 3 5 2 2" xfId="1470" xr:uid="{6549ED23-C02B-4D47-9D4B-E9B7CC5541FB}"/>
    <cellStyle name="Moeda 2 3 5 3" xfId="1103" xr:uid="{33E3D054-3384-453D-AB33-B309BCFC827F}"/>
    <cellStyle name="Moeda 2 3 6" xfId="368" xr:uid="{15A07837-587E-4090-B63E-9C2758A16DD3}"/>
    <cellStyle name="Moeda 2 3 6 2" xfId="735" xr:uid="{8AEAD0A5-23E5-4D91-96BA-340F1FC8263B}"/>
    <cellStyle name="Moeda 2 3 6 2 2" xfId="1516" xr:uid="{85B32A5B-0097-49D1-B8B5-3083EC41CE9A}"/>
    <cellStyle name="Moeda 2 3 6 3" xfId="1149" xr:uid="{550D3F51-F208-4E9F-AFC4-11F644EA6D27}"/>
    <cellStyle name="Moeda 2 3 7" xfId="415" xr:uid="{81AE4117-3D8B-4D6F-9C91-29E8D91B232F}"/>
    <cellStyle name="Moeda 2 3 7 2" xfId="1196" xr:uid="{E1B9EE81-B810-4EC8-B8F8-F18DA12078C5}"/>
    <cellStyle name="Moeda 2 3 8" xfId="783" xr:uid="{58FDE50E-0534-4BCD-8028-37DF258B20C4}"/>
    <cellStyle name="Moeda 2 3 8 2" xfId="1564" xr:uid="{870667EC-D833-4250-BEC2-89DA315CA572}"/>
    <cellStyle name="Moeda 2 3 9" xfId="829" xr:uid="{35DADAD1-671B-4055-87AA-1FF60C7D77C1}"/>
    <cellStyle name="Moeda 2 4" xfId="60" xr:uid="{0ED7FB83-A492-4003-8505-C80ECCA6ED64}"/>
    <cellStyle name="Moeda 2 4 2" xfId="198" xr:uid="{49E7762C-3520-45E8-AEB9-F5758D04B103}"/>
    <cellStyle name="Moeda 2 4 2 2" xfId="565" xr:uid="{77D7DBC2-F832-4CA5-9033-8A6238E74E86}"/>
    <cellStyle name="Moeda 2 4 2 2 2" xfId="1346" xr:uid="{CDC0117A-E047-4329-96F8-B97C1F37F8F7}"/>
    <cellStyle name="Moeda 2 4 2 3" xfId="979" xr:uid="{DCCABB55-844F-4B7B-AE99-39C6C5860D17}"/>
    <cellStyle name="Moeda 2 4 3" xfId="427" xr:uid="{99E6B894-BDFD-4073-809B-6C7BB8049113}"/>
    <cellStyle name="Moeda 2 4 3 2" xfId="1208" xr:uid="{793AF4A7-A87A-4A2C-A286-D019A9AD8942}"/>
    <cellStyle name="Moeda 2 4 4" xfId="841" xr:uid="{A4AC8924-ACE4-4B23-8B5A-287C19150F77}"/>
    <cellStyle name="Moeda 2 5" xfId="106" xr:uid="{AE6D7406-718F-4CD5-B7BB-476DAF35E169}"/>
    <cellStyle name="Moeda 2 5 2" xfId="243" xr:uid="{43AF6A96-EC24-4035-AAFB-2E7986A1DA34}"/>
    <cellStyle name="Moeda 2 5 2 2" xfId="610" xr:uid="{0AC3FD82-C36B-409F-87B0-D27B62A63525}"/>
    <cellStyle name="Moeda 2 5 2 2 2" xfId="1391" xr:uid="{AB8CA825-60A5-48F3-88C9-BE03113ACB01}"/>
    <cellStyle name="Moeda 2 5 2 3" xfId="1024" xr:uid="{EA3ED8A8-891E-4736-81DB-0C6B5A3AC472}"/>
    <cellStyle name="Moeda 2 5 3" xfId="473" xr:uid="{32EBBFCF-241C-4E5E-A134-C3EDB68B5C6E}"/>
    <cellStyle name="Moeda 2 5 3 2" xfId="1254" xr:uid="{A1F3D406-214C-4AF1-95A3-FF0AC5C5CAF6}"/>
    <cellStyle name="Moeda 2 5 4" xfId="887" xr:uid="{E32BF32A-59FD-482C-8576-6D2B9B0ECEFD}"/>
    <cellStyle name="Moeda 2 6" xfId="152" xr:uid="{AF1EA254-94DF-4C28-B4F2-0517B2D4B4BA}"/>
    <cellStyle name="Moeda 2 6 2" xfId="519" xr:uid="{5528ABA3-35FE-4971-A29E-DFD65EA1E51C}"/>
    <cellStyle name="Moeda 2 6 2 2" xfId="1300" xr:uid="{2083C051-33D6-4113-A980-2A2539CA5D71}"/>
    <cellStyle name="Moeda 2 6 3" xfId="933" xr:uid="{1B9D7A8A-E818-4A1D-83E7-A3FE6C7F5CE0}"/>
    <cellStyle name="Moeda 2 7" xfId="289" xr:uid="{2E670251-F723-47B0-A8AB-ABB19CE8E305}"/>
    <cellStyle name="Moeda 2 7 2" xfId="656" xr:uid="{D5114E40-F28C-4C6A-B7F8-8BB2E184AF25}"/>
    <cellStyle name="Moeda 2 7 2 2" xfId="1437" xr:uid="{AB6E9C1A-73DB-4317-929D-E523075F969C}"/>
    <cellStyle name="Moeda 2 7 3" xfId="1070" xr:uid="{E303E272-9A7C-4D67-9B8F-998ADA2BB83B}"/>
    <cellStyle name="Moeda 2 8" xfId="335" xr:uid="{8DA3982B-40D1-4513-B42C-72A2A4737AF1}"/>
    <cellStyle name="Moeda 2 8 2" xfId="702" xr:uid="{5B18FC53-B900-4589-972A-FB65292B1E42}"/>
    <cellStyle name="Moeda 2 8 2 2" xfId="1483" xr:uid="{AAFC2CA5-7A66-46D6-997E-B47E18656F66}"/>
    <cellStyle name="Moeda 2 8 3" xfId="1116" xr:uid="{C8C94BE0-C876-48F7-8AE4-613CBC67C7EF}"/>
    <cellStyle name="Moeda 2 9" xfId="382" xr:uid="{B8BF770D-EEAB-4226-9FF3-BF7BB6449318}"/>
    <cellStyle name="Moeda 2 9 2" xfId="1163" xr:uid="{0FF614DA-A51B-4492-9F75-3D6C3DCEC73F}"/>
    <cellStyle name="Moeda 3" xfId="26" xr:uid="{3DBB7D64-A1E9-4E72-952F-6067EA665DBC}"/>
    <cellStyle name="Moeda 3 2" xfId="71" xr:uid="{E9EAF801-6B2D-4537-B70A-8B2799BEB330}"/>
    <cellStyle name="Moeda 3 2 2" xfId="209" xr:uid="{CA049E81-988C-4161-BE6D-2859CFCAF2FF}"/>
    <cellStyle name="Moeda 3 2 2 2" xfId="576" xr:uid="{4CD98A18-B538-45A3-99B9-457BA895FD82}"/>
    <cellStyle name="Moeda 3 2 2 2 2" xfId="1357" xr:uid="{97993EA9-A3AF-4374-80D9-3CEEF0FCA43A}"/>
    <cellStyle name="Moeda 3 2 2 3" xfId="990" xr:uid="{9E8301E0-8949-4EC7-8540-DA1E47C00E72}"/>
    <cellStyle name="Moeda 3 2 3" xfId="438" xr:uid="{39948273-A5DD-46B5-A330-696D59FDBC66}"/>
    <cellStyle name="Moeda 3 2 3 2" xfId="1219" xr:uid="{C2EB005E-32FE-4047-8D60-1D0E0B5EF4CF}"/>
    <cellStyle name="Moeda 3 2 4" xfId="852" xr:uid="{8E85275B-1E8C-4AC5-B08D-576FCB4503E4}"/>
    <cellStyle name="Moeda 3 3" xfId="117" xr:uid="{478DD914-1AEB-44B5-9FD3-5D88808FB6FC}"/>
    <cellStyle name="Moeda 3 3 2" xfId="254" xr:uid="{1DDF52A6-ED4A-456A-9FFD-6735B69FC363}"/>
    <cellStyle name="Moeda 3 3 2 2" xfId="621" xr:uid="{0A13DC93-990B-4394-8E55-72C635723816}"/>
    <cellStyle name="Moeda 3 3 2 2 2" xfId="1402" xr:uid="{2FB86304-992F-4367-99FD-DA907922D6EB}"/>
    <cellStyle name="Moeda 3 3 2 3" xfId="1035" xr:uid="{CE1690DA-8C20-4871-9FE2-545BC32AD4B6}"/>
    <cellStyle name="Moeda 3 3 3" xfId="484" xr:uid="{32A51C02-76C0-4694-B2F0-52B12988CB9A}"/>
    <cellStyle name="Moeda 3 3 3 2" xfId="1265" xr:uid="{F2815449-5713-4128-88D3-2147F2590CFF}"/>
    <cellStyle name="Moeda 3 3 4" xfId="898" xr:uid="{503CB822-5CBC-471E-941F-2C2BFABD559B}"/>
    <cellStyle name="Moeda 3 4" xfId="163" xr:uid="{9FB7BC6C-14A2-4B95-9D49-8C243D603F14}"/>
    <cellStyle name="Moeda 3 4 2" xfId="530" xr:uid="{96D20E15-A70E-4CB1-A2AE-445564D1ED18}"/>
    <cellStyle name="Moeda 3 4 2 2" xfId="1311" xr:uid="{35AA1BFE-A027-439A-8B47-E8CFD52D4A79}"/>
    <cellStyle name="Moeda 3 4 3" xfId="944" xr:uid="{82D50DD9-50C9-418F-8110-444125CDF53B}"/>
    <cellStyle name="Moeda 3 5" xfId="300" xr:uid="{2E21B345-3A12-489F-AFC2-6AF0F57B914D}"/>
    <cellStyle name="Moeda 3 5 2" xfId="667" xr:uid="{E71F205D-ACE4-4BBF-8F20-4B0D93DF1547}"/>
    <cellStyle name="Moeda 3 5 2 2" xfId="1448" xr:uid="{CE310B1C-1DC0-4E0E-A443-C358500B0661}"/>
    <cellStyle name="Moeda 3 5 3" xfId="1081" xr:uid="{DCAACA76-9051-4005-BBB5-96F3DA4AAEDA}"/>
    <cellStyle name="Moeda 3 6" xfId="346" xr:uid="{83588D0A-E7EE-497C-8D7B-B3424C0030BD}"/>
    <cellStyle name="Moeda 3 6 2" xfId="713" xr:uid="{C586614A-570C-47AD-B894-D315506FA2AF}"/>
    <cellStyle name="Moeda 3 6 2 2" xfId="1494" xr:uid="{BE34FBEC-508C-46F6-905F-F9FBE046EB92}"/>
    <cellStyle name="Moeda 3 6 3" xfId="1127" xr:uid="{EFB3E53B-9BDF-44C6-8E56-510E4C2E6ECB}"/>
    <cellStyle name="Moeda 3 7" xfId="393" xr:uid="{369725F5-7CCA-4539-B87D-347F44F33DA9}"/>
    <cellStyle name="Moeda 3 7 2" xfId="1174" xr:uid="{FBCF0DD8-82D3-4B89-8228-9A6DA961ED2A}"/>
    <cellStyle name="Moeda 3 8" xfId="761" xr:uid="{CD725A23-9CFD-4AD9-863C-A27EC04F0DBF}"/>
    <cellStyle name="Moeda 3 8 2" xfId="1542" xr:uid="{B83B9441-0089-48FE-9746-A4ACB93202B4}"/>
    <cellStyle name="Moeda 3 9" xfId="807" xr:uid="{5AEEF4F2-F125-4E7C-9AD0-054B65657C16}"/>
    <cellStyle name="Moeda 4" xfId="49" xr:uid="{F117006C-CB4D-45EA-80BF-D4080EFEF3A7}"/>
    <cellStyle name="Moeda 4 2" xfId="187" xr:uid="{A2B7D7B0-56B6-4040-AB71-DDB313A0BE77}"/>
    <cellStyle name="Moeda 4 2 2" xfId="554" xr:uid="{1DFD1919-E5E8-473B-8213-631310AF7BE8}"/>
    <cellStyle name="Moeda 4 2 2 2" xfId="1335" xr:uid="{0C4CEDAF-6F4A-4813-BDA8-58AE24EB3670}"/>
    <cellStyle name="Moeda 4 2 3" xfId="968" xr:uid="{C65AAB00-B3BE-492D-A916-45980E6A452A}"/>
    <cellStyle name="Moeda 4 3" xfId="416" xr:uid="{9784D3AB-F2B0-4943-89DB-A999039184D5}"/>
    <cellStyle name="Moeda 4 3 2" xfId="1197" xr:uid="{BBEF1962-7BDA-448C-B4C7-054FAB18459E}"/>
    <cellStyle name="Moeda 4 4" xfId="830" xr:uid="{0E3064C7-2E9C-42B2-8A68-418C5604D675}"/>
    <cellStyle name="Moeda 5" xfId="95" xr:uid="{BBEA4123-3918-4EE0-91EF-475B29219F96}"/>
    <cellStyle name="Moeda 5 2" xfId="232" xr:uid="{0C4001F7-5D6B-4204-895C-F2A478D52E24}"/>
    <cellStyle name="Moeda 5 2 2" xfId="599" xr:uid="{A9525E80-65C3-4266-B4AA-FE7DD09BCA86}"/>
    <cellStyle name="Moeda 5 2 2 2" xfId="1380" xr:uid="{B20C4708-7305-449A-A057-202E7C810C3F}"/>
    <cellStyle name="Moeda 5 2 3" xfId="1013" xr:uid="{771873A5-B4D0-447A-BE92-3BFF591D073A}"/>
    <cellStyle name="Moeda 5 3" xfId="462" xr:uid="{54F96331-C0A5-4EA7-A0FF-C8A75D0DFD7C}"/>
    <cellStyle name="Moeda 5 3 2" xfId="1243" xr:uid="{49C4FE7B-4509-4ADC-8FB1-52B6F037A1F3}"/>
    <cellStyle name="Moeda 5 4" xfId="876" xr:uid="{577047D3-32E9-4977-8E3F-CF9BD800050D}"/>
    <cellStyle name="Moeda 6" xfId="141" xr:uid="{AFA66819-37C9-43DE-8597-69F93F3F14FA}"/>
    <cellStyle name="Moeda 6 2" xfId="508" xr:uid="{E172CD4B-6B85-45E3-8E96-1C3AD335AF80}"/>
    <cellStyle name="Moeda 6 2 2" xfId="1289" xr:uid="{950A7565-CCD1-4F1F-91B3-8D83F910A0DB}"/>
    <cellStyle name="Moeda 6 3" xfId="922" xr:uid="{AFD4E702-C0DB-41DD-A42D-4E7B0C5206B9}"/>
    <cellStyle name="Moeda 7" xfId="278" xr:uid="{40649EE9-4100-4D81-805A-0D35662335AF}"/>
    <cellStyle name="Moeda 7 2" xfId="645" xr:uid="{AB5B7B6E-29B0-4996-A690-02425CB45193}"/>
    <cellStyle name="Moeda 7 2 2" xfId="1426" xr:uid="{587B19A2-0600-43BC-A6F9-99184B97C763}"/>
    <cellStyle name="Moeda 7 3" xfId="1059" xr:uid="{D8569E84-33D9-46BA-BCEE-4244F1A8968D}"/>
    <cellStyle name="Moeda 8" xfId="324" xr:uid="{4A36BF2A-D4F2-4FAD-9E83-EFD09489C0BA}"/>
    <cellStyle name="Moeda 8 2" xfId="691" xr:uid="{34407AC9-7FDC-48B8-8D1E-71CDC82A9F07}"/>
    <cellStyle name="Moeda 8 2 2" xfId="1472" xr:uid="{9FC006A9-042E-4EB7-93B2-EEACAE2FC83F}"/>
    <cellStyle name="Moeda 8 3" xfId="1105" xr:uid="{51018071-32B7-4F4D-A0E8-1EE823F8CF8C}"/>
    <cellStyle name="Moeda 9" xfId="372" xr:uid="{D4F3095B-7F43-4D35-A685-A35991C67839}"/>
    <cellStyle name="Moeda 9 2" xfId="1153" xr:uid="{1E8A8775-F004-411D-B266-472CFB1A420F}"/>
    <cellStyle name="Normal" xfId="0" builtinId="0"/>
    <cellStyle name="Normal 2" xfId="4" xr:uid="{00000000-0005-0000-0000-000003000000}"/>
    <cellStyle name="Normal 3" xfId="5" xr:uid="{00000000-0005-0000-0000-000004000000}"/>
    <cellStyle name="Normal 4" xfId="9" xr:uid="{00000000-0005-0000-0000-000005000000}"/>
    <cellStyle name="Normal 4 10" xfId="377" xr:uid="{21E37FF1-696F-4125-AF9E-ACE5789225D8}"/>
    <cellStyle name="Normal 4 10 2" xfId="1158" xr:uid="{2D93E5C2-040F-4222-BD22-2FD8C7E23B99}"/>
    <cellStyle name="Normal 4 11" xfId="745" xr:uid="{30ED1C57-4AFA-41AE-8606-26ADD05CE558}"/>
    <cellStyle name="Normal 4 11 2" xfId="1526" xr:uid="{6177CF4B-4F77-4851-9FE0-5DCA5A76C9F5}"/>
    <cellStyle name="Normal 4 12" xfId="791" xr:uid="{DA3851CE-E38F-4801-AE56-8753F7E15A5B}"/>
    <cellStyle name="Normal 4 2" xfId="14" xr:uid="{00000000-0005-0000-0000-000006000000}"/>
    <cellStyle name="Normal 4 2 10" xfId="749" xr:uid="{EE619306-92D5-4FD8-BB55-B05BD3C611E6}"/>
    <cellStyle name="Normal 4 2 10 2" xfId="1530" xr:uid="{EAE942E2-06EC-4211-B2CD-EF1AB40E78C3}"/>
    <cellStyle name="Normal 4 2 11" xfId="795" xr:uid="{44767A99-ECBF-439E-806F-5D3E6364CB75}"/>
    <cellStyle name="Normal 4 2 2" xfId="25" xr:uid="{01D751A4-796C-4D0E-909A-3D0B088504EC}"/>
    <cellStyle name="Normal 4 2 2 10" xfId="806" xr:uid="{E6F4B25C-B8D1-4785-B445-B8047D9C5965}"/>
    <cellStyle name="Normal 4 2 2 2" xfId="47" xr:uid="{1F3E2B9F-D2EA-42A0-A4B2-8EFEFC871B04}"/>
    <cellStyle name="Normal 4 2 2 2 2" xfId="92" xr:uid="{02333A14-9660-475E-AAC9-838C317D0C2F}"/>
    <cellStyle name="Normal 4 2 2 2 2 2" xfId="230" xr:uid="{56B76EB5-0C63-4D4C-A6D1-3D025EE1B0A1}"/>
    <cellStyle name="Normal 4 2 2 2 2 2 2" xfId="597" xr:uid="{7111FB82-F39A-4A42-948C-EE5D08585FAC}"/>
    <cellStyle name="Normal 4 2 2 2 2 2 2 2" xfId="1378" xr:uid="{7F242CB0-5433-4F13-9DAC-CEC406DAEF78}"/>
    <cellStyle name="Normal 4 2 2 2 2 2 3" xfId="1011" xr:uid="{218F6543-6F1B-4EF8-8D4F-15BA9B444053}"/>
    <cellStyle name="Normal 4 2 2 2 2 3" xfId="459" xr:uid="{8EC25429-3FFD-4CDA-8714-FBBDEAEB5FF8}"/>
    <cellStyle name="Normal 4 2 2 2 2 3 2" xfId="1240" xr:uid="{3EF2E1A7-169A-452A-B1D7-645ECE391AD4}"/>
    <cellStyle name="Normal 4 2 2 2 2 4" xfId="873" xr:uid="{28E65216-F66C-4342-8ACA-C2C78FFFF224}"/>
    <cellStyle name="Normal 4 2 2 2 3" xfId="138" xr:uid="{81198C64-3A07-4B00-89EE-1153B83930EA}"/>
    <cellStyle name="Normal 4 2 2 2 3 2" xfId="275" xr:uid="{87BF2AED-B4F5-48A1-A21E-4839F8AFC819}"/>
    <cellStyle name="Normal 4 2 2 2 3 2 2" xfId="642" xr:uid="{3775F2AF-7868-4C79-BE27-CEED0341DAE5}"/>
    <cellStyle name="Normal 4 2 2 2 3 2 2 2" xfId="1423" xr:uid="{D0F14F9E-A34B-4FC0-95CC-1325DDD3D71E}"/>
    <cellStyle name="Normal 4 2 2 2 3 2 3" xfId="1056" xr:uid="{ED1DD778-50D8-48ED-9A30-FE4DBAF23432}"/>
    <cellStyle name="Normal 4 2 2 2 3 3" xfId="505" xr:uid="{046ED16D-4805-4DA8-8338-ABD4D8D33D4D}"/>
    <cellStyle name="Normal 4 2 2 2 3 3 2" xfId="1286" xr:uid="{64A545D9-A3EC-4CFE-A0A2-28C1AC2B4E31}"/>
    <cellStyle name="Normal 4 2 2 2 3 4" xfId="919" xr:uid="{300A2CF5-3FAA-4CC6-94AD-5B12AF475E88}"/>
    <cellStyle name="Normal 4 2 2 2 4" xfId="184" xr:uid="{D4A3A434-42E4-4DC4-8F97-E56873E30265}"/>
    <cellStyle name="Normal 4 2 2 2 4 2" xfId="551" xr:uid="{B70A94E6-2947-4172-9750-B97E83458D45}"/>
    <cellStyle name="Normal 4 2 2 2 4 2 2" xfId="1332" xr:uid="{649D65C4-D5C7-4A0C-9463-EE89542D236A}"/>
    <cellStyle name="Normal 4 2 2 2 4 3" xfId="965" xr:uid="{19EB6B0A-A6BB-40A0-B2AB-A583AB0C7886}"/>
    <cellStyle name="Normal 4 2 2 2 5" xfId="321" xr:uid="{F5E3E890-CE97-479F-B0F5-0457A7B3AC82}"/>
    <cellStyle name="Normal 4 2 2 2 5 2" xfId="688" xr:uid="{BD3339ED-796F-4807-9339-53A187378C1E}"/>
    <cellStyle name="Normal 4 2 2 2 5 2 2" xfId="1469" xr:uid="{90B1D001-AB50-4090-A290-652BD04CC639}"/>
    <cellStyle name="Normal 4 2 2 2 5 3" xfId="1102" xr:uid="{C21662BC-FF52-46E8-88E4-0A6ED74A6418}"/>
    <cellStyle name="Normal 4 2 2 2 6" xfId="367" xr:uid="{7692E3C5-2F71-41B7-928B-F9EAC9B49F5F}"/>
    <cellStyle name="Normal 4 2 2 2 6 2" xfId="734" xr:uid="{08F08547-1934-4675-88CE-58DE258A50E0}"/>
    <cellStyle name="Normal 4 2 2 2 6 2 2" xfId="1515" xr:uid="{5A12E5BB-7F8F-4216-9C8B-DACCAD8BB75F}"/>
    <cellStyle name="Normal 4 2 2 2 6 3" xfId="1148" xr:uid="{B5728B71-6C0E-4476-898A-5077EAE9B51D}"/>
    <cellStyle name="Normal 4 2 2 2 7" xfId="414" xr:uid="{A6AD7BE9-702D-4303-844D-D08D95BD78C6}"/>
    <cellStyle name="Normal 4 2 2 2 7 2" xfId="1195" xr:uid="{40354439-BB6B-448C-A895-371C640A28E6}"/>
    <cellStyle name="Normal 4 2 2 2 8" xfId="782" xr:uid="{E3C86020-40AB-4C68-BCB9-430D9E92B033}"/>
    <cellStyle name="Normal 4 2 2 2 8 2" xfId="1563" xr:uid="{D954E180-62A8-4268-8A44-7AAA87727DD5}"/>
    <cellStyle name="Normal 4 2 2 2 9" xfId="828" xr:uid="{D7577376-53FA-4975-8AF6-1D24796E7154}"/>
    <cellStyle name="Normal 4 2 2 3" xfId="70" xr:uid="{0173C5EF-99B0-4D32-854D-747DD860B523}"/>
    <cellStyle name="Normal 4 2 2 3 2" xfId="208" xr:uid="{943FBD97-E779-43B5-9B0D-D669FFBE8B70}"/>
    <cellStyle name="Normal 4 2 2 3 2 2" xfId="575" xr:uid="{C24BEE38-9192-4F11-867A-2C388DEB2E68}"/>
    <cellStyle name="Normal 4 2 2 3 2 2 2" xfId="1356" xr:uid="{38131134-DD54-4A77-9DC0-A665AB9168CF}"/>
    <cellStyle name="Normal 4 2 2 3 2 3" xfId="989" xr:uid="{107F5AEE-BA8F-436B-A459-885C92BF3FD2}"/>
    <cellStyle name="Normal 4 2 2 3 3" xfId="437" xr:uid="{4C5B533F-63BE-47BB-AA4E-5C7AB691E560}"/>
    <cellStyle name="Normal 4 2 2 3 3 2" xfId="1218" xr:uid="{F4F3243B-C598-4F95-9B8B-39882630CE08}"/>
    <cellStyle name="Normal 4 2 2 3 4" xfId="851" xr:uid="{545D25C1-BD60-407A-A322-C0BD1518F086}"/>
    <cellStyle name="Normal 4 2 2 4" xfId="116" xr:uid="{6065D602-87B4-4486-8CDA-D8774ADB2277}"/>
    <cellStyle name="Normal 4 2 2 4 2" xfId="253" xr:uid="{585AC801-8027-4074-BAC5-43149F436529}"/>
    <cellStyle name="Normal 4 2 2 4 2 2" xfId="620" xr:uid="{449E3244-6D9C-45EE-B922-EBBE7D99A147}"/>
    <cellStyle name="Normal 4 2 2 4 2 2 2" xfId="1401" xr:uid="{71EA220C-A09A-4428-997C-EFAEBAF6D864}"/>
    <cellStyle name="Normal 4 2 2 4 2 3" xfId="1034" xr:uid="{44FE0D55-642D-4336-A469-9843EE20151A}"/>
    <cellStyle name="Normal 4 2 2 4 3" xfId="483" xr:uid="{2E143FFE-F1D6-437B-866A-27E5829CE1D3}"/>
    <cellStyle name="Normal 4 2 2 4 3 2" xfId="1264" xr:uid="{5CD2183E-C935-45E5-9FCA-A657D4BA39A8}"/>
    <cellStyle name="Normal 4 2 2 4 4" xfId="897" xr:uid="{43D2A3DD-594F-402F-8BC8-5017D53A2F2B}"/>
    <cellStyle name="Normal 4 2 2 5" xfId="162" xr:uid="{A3CF856D-DD09-4D87-9C4C-676504547CF5}"/>
    <cellStyle name="Normal 4 2 2 5 2" xfId="529" xr:uid="{78D39B18-8701-427E-940A-942F0E5159C3}"/>
    <cellStyle name="Normal 4 2 2 5 2 2" xfId="1310" xr:uid="{7E7D6D77-BC64-4B9D-9AC6-4FA0837E9E7F}"/>
    <cellStyle name="Normal 4 2 2 5 3" xfId="943" xr:uid="{E77D96ED-DB32-46AE-A6C7-54E4C9745510}"/>
    <cellStyle name="Normal 4 2 2 6" xfId="299" xr:uid="{10CE689F-AC17-4B6C-861C-0E14D920EC1A}"/>
    <cellStyle name="Normal 4 2 2 6 2" xfId="666" xr:uid="{6D484A09-C8AF-40FE-9067-B61C5E428B7F}"/>
    <cellStyle name="Normal 4 2 2 6 2 2" xfId="1447" xr:uid="{0A23490E-81B3-4C0E-8632-B9C91E7C4D6F}"/>
    <cellStyle name="Normal 4 2 2 6 3" xfId="1080" xr:uid="{2C409734-3999-41FA-8C98-F98824580247}"/>
    <cellStyle name="Normal 4 2 2 7" xfId="345" xr:uid="{2F63B66D-F737-4278-8F4E-DA6509D88C8E}"/>
    <cellStyle name="Normal 4 2 2 7 2" xfId="712" xr:uid="{5DE0B201-C322-4AD5-B7B3-16D238BAEC15}"/>
    <cellStyle name="Normal 4 2 2 7 2 2" xfId="1493" xr:uid="{5A8A3923-38ED-4D00-AC8D-531BE2D44471}"/>
    <cellStyle name="Normal 4 2 2 7 3" xfId="1126" xr:uid="{729C0031-C610-495C-9033-ED96E8B7AFFD}"/>
    <cellStyle name="Normal 4 2 2 8" xfId="392" xr:uid="{68B7E711-FF9B-4711-829F-B8B799E24165}"/>
    <cellStyle name="Normal 4 2 2 8 2" xfId="1173" xr:uid="{6962F497-52E2-449A-95FC-0693F1CD531D}"/>
    <cellStyle name="Normal 4 2 2 9" xfId="760" xr:uid="{4A09DB3B-D419-413F-AF56-EDD08EBCA3C6}"/>
    <cellStyle name="Normal 4 2 2 9 2" xfId="1541" xr:uid="{6BCE71B7-D8EE-46FA-9B3D-E8B8C3A82C75}"/>
    <cellStyle name="Normal 4 2 3" xfId="36" xr:uid="{C6CAE43A-9493-4618-BB8E-8EDC84EC9A80}"/>
    <cellStyle name="Normal 4 2 3 2" xfId="81" xr:uid="{3355E671-F2F7-44A9-9E22-14226A6CCFDB}"/>
    <cellStyle name="Normal 4 2 3 2 2" xfId="219" xr:uid="{4DA93763-E3E0-47B0-BFCC-56B394FABF5B}"/>
    <cellStyle name="Normal 4 2 3 2 2 2" xfId="586" xr:uid="{60BC2908-F5C7-424E-B69A-BB287E09BA81}"/>
    <cellStyle name="Normal 4 2 3 2 2 2 2" xfId="1367" xr:uid="{4B4E2C0A-D36A-48F6-9174-E25F4171922F}"/>
    <cellStyle name="Normal 4 2 3 2 2 3" xfId="1000" xr:uid="{1EB2BFAD-A6B3-4D9D-89C6-D98691E82FEF}"/>
    <cellStyle name="Normal 4 2 3 2 3" xfId="448" xr:uid="{B928726B-F109-4B35-9B2A-1B736004927F}"/>
    <cellStyle name="Normal 4 2 3 2 3 2" xfId="1229" xr:uid="{E4E1D9AD-A6C8-4594-A0A7-8B3F5971FAA9}"/>
    <cellStyle name="Normal 4 2 3 2 4" xfId="862" xr:uid="{2148E12C-1462-4C1C-9D53-2EE84C9CE80F}"/>
    <cellStyle name="Normal 4 2 3 3" xfId="127" xr:uid="{E869E636-01E4-4A16-B303-76E0176EDDFC}"/>
    <cellStyle name="Normal 4 2 3 3 2" xfId="264" xr:uid="{25D70995-0B6F-45FE-920A-EEBC8F46D822}"/>
    <cellStyle name="Normal 4 2 3 3 2 2" xfId="631" xr:uid="{982A7B90-59D4-4E20-9473-26187FB3DA61}"/>
    <cellStyle name="Normal 4 2 3 3 2 2 2" xfId="1412" xr:uid="{CBBC47FB-BD7E-4B16-86A2-93232B712D99}"/>
    <cellStyle name="Normal 4 2 3 3 2 3" xfId="1045" xr:uid="{B5D78CDC-3297-41D1-BFC8-8B919B768C14}"/>
    <cellStyle name="Normal 4 2 3 3 3" xfId="494" xr:uid="{11F28EF1-B717-469F-BFEE-E4F9E656DB8A}"/>
    <cellStyle name="Normal 4 2 3 3 3 2" xfId="1275" xr:uid="{9F9159C4-BB52-4865-8DE7-875323AC1080}"/>
    <cellStyle name="Normal 4 2 3 3 4" xfId="908" xr:uid="{30B1E76B-8CED-498A-A4D8-FCD680829A67}"/>
    <cellStyle name="Normal 4 2 3 4" xfId="173" xr:uid="{9E3BB0F5-359D-4E33-BBB5-A75E0F532B45}"/>
    <cellStyle name="Normal 4 2 3 4 2" xfId="540" xr:uid="{C32F7ADC-FE6C-4B44-A9C9-1B86C8B6D74D}"/>
    <cellStyle name="Normal 4 2 3 4 2 2" xfId="1321" xr:uid="{B3DF7CBA-AE62-455E-86BD-2C2ECC61E6B2}"/>
    <cellStyle name="Normal 4 2 3 4 3" xfId="954" xr:uid="{11E5C51A-F778-4493-814E-6C0F9B6D1A72}"/>
    <cellStyle name="Normal 4 2 3 5" xfId="310" xr:uid="{429F9C0F-EC79-415B-A1A4-741294DDC252}"/>
    <cellStyle name="Normal 4 2 3 5 2" xfId="677" xr:uid="{5E007A0F-15AC-4C11-A52A-1D385B0D7E39}"/>
    <cellStyle name="Normal 4 2 3 5 2 2" xfId="1458" xr:uid="{34BA8EE0-7342-4615-9F49-66F60BE00FCC}"/>
    <cellStyle name="Normal 4 2 3 5 3" xfId="1091" xr:uid="{0EADE048-38CD-4CCB-BE27-996A770FAC5B}"/>
    <cellStyle name="Normal 4 2 3 6" xfId="356" xr:uid="{B9ADD359-134D-4A17-9661-1C6683F4C9E3}"/>
    <cellStyle name="Normal 4 2 3 6 2" xfId="723" xr:uid="{B2108D61-1C6D-4211-A665-57AC3FB6D481}"/>
    <cellStyle name="Normal 4 2 3 6 2 2" xfId="1504" xr:uid="{3D29CA61-A1C6-4183-BC9F-81D3EEBE83E1}"/>
    <cellStyle name="Normal 4 2 3 6 3" xfId="1137" xr:uid="{2993EFB9-62C4-45A1-9981-029FC7F812DB}"/>
    <cellStyle name="Normal 4 2 3 7" xfId="403" xr:uid="{C939EF18-D540-4FD7-AFA7-5059C827A78B}"/>
    <cellStyle name="Normal 4 2 3 7 2" xfId="1184" xr:uid="{13E5E0AB-FA7C-4427-B653-D669F5028C6E}"/>
    <cellStyle name="Normal 4 2 3 8" xfId="771" xr:uid="{3445A825-7783-4F36-8B78-35FD82079536}"/>
    <cellStyle name="Normal 4 2 3 8 2" xfId="1552" xr:uid="{2F5351F5-062B-4BF5-9DA9-DD0C7637E9A0}"/>
    <cellStyle name="Normal 4 2 3 9" xfId="817" xr:uid="{72EFE818-E861-4EEC-841C-3D8744E6E426}"/>
    <cellStyle name="Normal 4 2 4" xfId="59" xr:uid="{D406FADC-B25C-4A86-8AD5-CEB5173CA885}"/>
    <cellStyle name="Normal 4 2 4 2" xfId="197" xr:uid="{C8C8E35C-C268-4F0B-B815-31756B65ECEC}"/>
    <cellStyle name="Normal 4 2 4 2 2" xfId="564" xr:uid="{A2F87AB2-4076-49E0-84F7-B18F309E0D31}"/>
    <cellStyle name="Normal 4 2 4 2 2 2" xfId="1345" xr:uid="{99766813-91CC-4DD4-A84D-4FBD05780611}"/>
    <cellStyle name="Normal 4 2 4 2 3" xfId="978" xr:uid="{4B84BE91-524F-4B2B-9BAD-930820DFD05C}"/>
    <cellStyle name="Normal 4 2 4 3" xfId="426" xr:uid="{62C5FBA1-D576-4610-BD33-3CC27EAF9DAF}"/>
    <cellStyle name="Normal 4 2 4 3 2" xfId="1207" xr:uid="{7930C255-13EE-4515-803B-E96E85A74A15}"/>
    <cellStyle name="Normal 4 2 4 4" xfId="840" xr:uid="{819EA407-20BE-44D7-AA2A-E7D8CE680403}"/>
    <cellStyle name="Normal 4 2 5" xfId="105" xr:uid="{AE4F096B-C356-4783-AEC3-9C3BCAC44C7E}"/>
    <cellStyle name="Normal 4 2 5 2" xfId="242" xr:uid="{C74A225D-CDA1-4265-8EA7-09F501144207}"/>
    <cellStyle name="Normal 4 2 5 2 2" xfId="609" xr:uid="{54D9325A-E8C2-4E7C-9918-8F1B12C449C8}"/>
    <cellStyle name="Normal 4 2 5 2 2 2" xfId="1390" xr:uid="{71885829-E988-4AEE-B02E-5D244B2495AE}"/>
    <cellStyle name="Normal 4 2 5 2 3" xfId="1023" xr:uid="{16883C78-4A93-4FDC-903E-59161004D850}"/>
    <cellStyle name="Normal 4 2 5 3" xfId="472" xr:uid="{5DE3BF86-CBB3-4125-97BD-D21DAEEA9277}"/>
    <cellStyle name="Normal 4 2 5 3 2" xfId="1253" xr:uid="{AEB611CC-12B2-471B-BC5A-99C9FD809687}"/>
    <cellStyle name="Normal 4 2 5 4" xfId="886" xr:uid="{0D28640D-2F85-4DC8-8CDF-AAFA45EB8317}"/>
    <cellStyle name="Normal 4 2 6" xfId="151" xr:uid="{17F7283A-15BB-4F4B-83C9-0D0631D1D95C}"/>
    <cellStyle name="Normal 4 2 6 2" xfId="518" xr:uid="{0C8EAB6D-0D2B-47C2-BC1B-47797CD34F2D}"/>
    <cellStyle name="Normal 4 2 6 2 2" xfId="1299" xr:uid="{04BE4EA8-F2C8-4C36-B321-062E87770B0C}"/>
    <cellStyle name="Normal 4 2 6 3" xfId="932" xr:uid="{F291F8D3-7557-41DA-8F66-FE4CB519C769}"/>
    <cellStyle name="Normal 4 2 7" xfId="288" xr:uid="{09435C86-1E84-4248-9436-82F8B53829BF}"/>
    <cellStyle name="Normal 4 2 7 2" xfId="655" xr:uid="{D08B72C9-B983-465B-8A6C-A6303B56440A}"/>
    <cellStyle name="Normal 4 2 7 2 2" xfId="1436" xr:uid="{C385DC2A-431D-4F3C-8D15-AAAED1E73843}"/>
    <cellStyle name="Normal 4 2 7 3" xfId="1069" xr:uid="{F469E836-D2BC-450A-B5CF-B875EC531BA3}"/>
    <cellStyle name="Normal 4 2 8" xfId="334" xr:uid="{235832C1-0194-428F-AD29-AC40BA1838EC}"/>
    <cellStyle name="Normal 4 2 8 2" xfId="701" xr:uid="{B098306E-AAFB-4575-A49E-C959931C1F22}"/>
    <cellStyle name="Normal 4 2 8 2 2" xfId="1482" xr:uid="{CF755F56-B380-481A-8844-D0AB6F6BDB49}"/>
    <cellStyle name="Normal 4 2 8 3" xfId="1115" xr:uid="{CBE8301B-4568-402C-BABC-2BB0CC144A8B}"/>
    <cellStyle name="Normal 4 2 9" xfId="381" xr:uid="{A87ED330-79C9-4819-A3C3-65562F2618DF}"/>
    <cellStyle name="Normal 4 2 9 2" xfId="1162" xr:uid="{A9941735-68C6-4A51-9D50-D46741023580}"/>
    <cellStyle name="Normal 4 3" xfId="21" xr:uid="{57EF3D78-A835-4345-A70E-888A2CDB36AC}"/>
    <cellStyle name="Normal 4 3 10" xfId="802" xr:uid="{F3A6BB82-F213-4B4B-940F-549690E3D5C8}"/>
    <cellStyle name="Normal 4 3 2" xfId="43" xr:uid="{8068AFF0-2DAF-4544-884D-53F4215145FD}"/>
    <cellStyle name="Normal 4 3 2 2" xfId="88" xr:uid="{C5410FC1-0C82-47A2-A8FD-937D85714E61}"/>
    <cellStyle name="Normal 4 3 2 2 2" xfId="226" xr:uid="{0E276C3D-09BA-4CF4-9258-B132EC38EDEA}"/>
    <cellStyle name="Normal 4 3 2 2 2 2" xfId="593" xr:uid="{A990AAB2-42D0-4037-B78A-9EFF5D5CFE19}"/>
    <cellStyle name="Normal 4 3 2 2 2 2 2" xfId="1374" xr:uid="{6ADD7457-957A-47BE-839C-E31D44E0BC52}"/>
    <cellStyle name="Normal 4 3 2 2 2 3" xfId="1007" xr:uid="{1C701D02-F605-4C97-8002-54646A44FE00}"/>
    <cellStyle name="Normal 4 3 2 2 3" xfId="455" xr:uid="{9F99AE22-C244-4AA2-BD77-236E689FFA3C}"/>
    <cellStyle name="Normal 4 3 2 2 3 2" xfId="1236" xr:uid="{F45D2C79-8059-4314-AF69-94E6FE64C521}"/>
    <cellStyle name="Normal 4 3 2 2 4" xfId="869" xr:uid="{681D3831-D83D-41EC-8D22-5FE3C49E2EC5}"/>
    <cellStyle name="Normal 4 3 2 3" xfId="134" xr:uid="{294CBA39-0E3C-412F-88E2-8C4A51845586}"/>
    <cellStyle name="Normal 4 3 2 3 2" xfId="271" xr:uid="{28C97D15-DDE4-460E-A677-B9515FD05A3B}"/>
    <cellStyle name="Normal 4 3 2 3 2 2" xfId="638" xr:uid="{9EC878F1-FABF-4FE3-997E-5942477D1000}"/>
    <cellStyle name="Normal 4 3 2 3 2 2 2" xfId="1419" xr:uid="{BEA0CB26-76C2-4F64-B9FD-CE15388C6EA5}"/>
    <cellStyle name="Normal 4 3 2 3 2 3" xfId="1052" xr:uid="{74F10CA1-B999-492E-A196-BCBA0FF45CD1}"/>
    <cellStyle name="Normal 4 3 2 3 3" xfId="501" xr:uid="{E1DEA6D0-D5A6-4D35-AE9A-E31075732D8E}"/>
    <cellStyle name="Normal 4 3 2 3 3 2" xfId="1282" xr:uid="{359C64DB-6BBC-44B0-BE46-3CC207700DB2}"/>
    <cellStyle name="Normal 4 3 2 3 4" xfId="915" xr:uid="{DCFB0735-2432-46E0-9000-444C9C3CEE8E}"/>
    <cellStyle name="Normal 4 3 2 4" xfId="180" xr:uid="{9D46F015-C238-4BB9-A1DD-62DBE303E932}"/>
    <cellStyle name="Normal 4 3 2 4 2" xfId="547" xr:uid="{5A2931AF-6339-46F2-8A7A-1AE914455447}"/>
    <cellStyle name="Normal 4 3 2 4 2 2" xfId="1328" xr:uid="{7639C802-D384-4C38-9A3E-6651FBE54AD7}"/>
    <cellStyle name="Normal 4 3 2 4 3" xfId="961" xr:uid="{DB19ECA2-EB21-445E-AAE1-CC3A77AC2BD9}"/>
    <cellStyle name="Normal 4 3 2 5" xfId="317" xr:uid="{DE7EE067-C471-46B1-8296-E046710A5121}"/>
    <cellStyle name="Normal 4 3 2 5 2" xfId="684" xr:uid="{186DE29C-8CD8-4724-A4D9-F44EC5DEBD81}"/>
    <cellStyle name="Normal 4 3 2 5 2 2" xfId="1465" xr:uid="{4BBCD88A-5D12-4ED8-B53D-34AA0660E2B3}"/>
    <cellStyle name="Normal 4 3 2 5 3" xfId="1098" xr:uid="{579CB4CA-FDDA-4133-8620-2925F1EE77FC}"/>
    <cellStyle name="Normal 4 3 2 6" xfId="363" xr:uid="{F8ABB30F-17A5-42B1-B2A7-A658E9F72205}"/>
    <cellStyle name="Normal 4 3 2 6 2" xfId="730" xr:uid="{22C149EC-F8CF-415D-A41B-F88F9093C78D}"/>
    <cellStyle name="Normal 4 3 2 6 2 2" xfId="1511" xr:uid="{79361EC9-497A-4873-BFE8-B1CD08275DE2}"/>
    <cellStyle name="Normal 4 3 2 6 3" xfId="1144" xr:uid="{344B1435-1F7B-4CA3-A97B-9190D244DCDC}"/>
    <cellStyle name="Normal 4 3 2 7" xfId="410" xr:uid="{CE414D19-BC75-403C-AF43-2FFC44D1BAF4}"/>
    <cellStyle name="Normal 4 3 2 7 2" xfId="1191" xr:uid="{AB6C4670-150F-4A84-8FBB-779A5A34A5AC}"/>
    <cellStyle name="Normal 4 3 2 8" xfId="778" xr:uid="{500AD3FA-9087-4E54-B842-891D83F0465E}"/>
    <cellStyle name="Normal 4 3 2 8 2" xfId="1559" xr:uid="{318F99AC-BC9F-4441-BEF7-1205ADE35F10}"/>
    <cellStyle name="Normal 4 3 2 9" xfId="824" xr:uid="{40975F60-8010-4870-B8E8-F408C3DBFCDA}"/>
    <cellStyle name="Normal 4 3 3" xfId="66" xr:uid="{F088FF4A-8D33-42B8-B87E-77DF4632246A}"/>
    <cellStyle name="Normal 4 3 3 2" xfId="204" xr:uid="{B08252ED-A88E-4CB9-A1C4-7E18B4DFB5E1}"/>
    <cellStyle name="Normal 4 3 3 2 2" xfId="571" xr:uid="{A6651207-52E3-4864-888B-55B18C790851}"/>
    <cellStyle name="Normal 4 3 3 2 2 2" xfId="1352" xr:uid="{3577283E-8D18-40B8-8E32-89787796AFCD}"/>
    <cellStyle name="Normal 4 3 3 2 3" xfId="985" xr:uid="{F567C0BE-1587-453A-BDEB-4CA7D8357757}"/>
    <cellStyle name="Normal 4 3 3 3" xfId="433" xr:uid="{C4A62D3E-5BE5-4D65-8711-E3F9B4972A84}"/>
    <cellStyle name="Normal 4 3 3 3 2" xfId="1214" xr:uid="{68A78399-194E-42B2-993B-5E4495AC6472}"/>
    <cellStyle name="Normal 4 3 3 4" xfId="847" xr:uid="{DE9B4344-9BEC-4309-8F52-685C9F461C5C}"/>
    <cellStyle name="Normal 4 3 4" xfId="112" xr:uid="{243F1F74-7A7C-4775-93B4-55054D8B1CF4}"/>
    <cellStyle name="Normal 4 3 4 2" xfId="249" xr:uid="{D0A2D518-39FA-4A6E-8CB0-72F1322C55F6}"/>
    <cellStyle name="Normal 4 3 4 2 2" xfId="616" xr:uid="{3261B1AF-7D21-4127-9DD2-E67040F20B9C}"/>
    <cellStyle name="Normal 4 3 4 2 2 2" xfId="1397" xr:uid="{66D38787-E558-4FD3-B0E1-7E99845D0592}"/>
    <cellStyle name="Normal 4 3 4 2 3" xfId="1030" xr:uid="{863962C3-6E14-475D-A96E-BA4FDF1FC199}"/>
    <cellStyle name="Normal 4 3 4 3" xfId="479" xr:uid="{14FACF7B-1F0F-4175-85EF-98A7FFE00A3A}"/>
    <cellStyle name="Normal 4 3 4 3 2" xfId="1260" xr:uid="{8B813836-85B7-45A7-AA3E-0B830FEFAC58}"/>
    <cellStyle name="Normal 4 3 4 4" xfId="893" xr:uid="{4C039413-9457-44D9-8E9A-5C609372392F}"/>
    <cellStyle name="Normal 4 3 5" xfId="158" xr:uid="{F93A00A4-5D86-4FEF-AF16-24483B330596}"/>
    <cellStyle name="Normal 4 3 5 2" xfId="525" xr:uid="{22D81CD4-122D-47F5-AC19-7CA9146ED34D}"/>
    <cellStyle name="Normal 4 3 5 2 2" xfId="1306" xr:uid="{C28A91AE-EDF5-4508-9F30-F741A0758997}"/>
    <cellStyle name="Normal 4 3 5 3" xfId="939" xr:uid="{C949E5A0-55DD-4474-AB17-85B51BFEFF8C}"/>
    <cellStyle name="Normal 4 3 6" xfId="295" xr:uid="{7D098F51-2627-405D-BEB9-FDF8FEC90322}"/>
    <cellStyle name="Normal 4 3 6 2" xfId="662" xr:uid="{2E698219-4643-446A-9105-CC4E26FD1D6B}"/>
    <cellStyle name="Normal 4 3 6 2 2" xfId="1443" xr:uid="{1A648B8A-78B4-44D2-8C04-7AF72735CC64}"/>
    <cellStyle name="Normal 4 3 6 3" xfId="1076" xr:uid="{42D93831-FADD-4347-8EAF-500F6BA74362}"/>
    <cellStyle name="Normal 4 3 7" xfId="341" xr:uid="{FF385E9E-D47A-496F-86AA-C69215CC26BE}"/>
    <cellStyle name="Normal 4 3 7 2" xfId="708" xr:uid="{CC498BF2-FB8A-42FF-BC0F-7CF6BA6707C7}"/>
    <cellStyle name="Normal 4 3 7 2 2" xfId="1489" xr:uid="{6DA57948-A1A5-443E-A7B0-25A13AB30635}"/>
    <cellStyle name="Normal 4 3 7 3" xfId="1122" xr:uid="{77C41B0A-CD19-4EE1-BFC4-B3F9F9A432A4}"/>
    <cellStyle name="Normal 4 3 8" xfId="388" xr:uid="{F6FE3D67-BFD5-461A-9BE7-1FC46405BE9F}"/>
    <cellStyle name="Normal 4 3 8 2" xfId="1169" xr:uid="{D2633F10-8FC9-4D46-BB98-5B883D0FEC22}"/>
    <cellStyle name="Normal 4 3 9" xfId="756" xr:uid="{9652A026-97F2-478C-B027-73DD384CF8D2}"/>
    <cellStyle name="Normal 4 3 9 2" xfId="1537" xr:uid="{0A4C7E4D-9BAB-41D2-8F2D-CC568B0C79F7}"/>
    <cellStyle name="Normal 4 4" xfId="32" xr:uid="{1291B9BB-B2DF-4EB2-B8D3-4C3645E2995A}"/>
    <cellStyle name="Normal 4 4 2" xfId="77" xr:uid="{3EBD0AE0-D80E-43D0-A50C-A7EC5A1E017F}"/>
    <cellStyle name="Normal 4 4 2 2" xfId="215" xr:uid="{C91D1373-6C32-4FC6-B409-7A1736542661}"/>
    <cellStyle name="Normal 4 4 2 2 2" xfId="582" xr:uid="{79C5271C-9A84-42F8-8EE8-FF5287CCE456}"/>
    <cellStyle name="Normal 4 4 2 2 2 2" xfId="1363" xr:uid="{4E2FDC33-BB8E-4006-9912-22EB5688355B}"/>
    <cellStyle name="Normal 4 4 2 2 3" xfId="996" xr:uid="{993D843E-1207-48DC-91B2-44F37236068D}"/>
    <cellStyle name="Normal 4 4 2 3" xfId="444" xr:uid="{5688FE8E-7F6E-4795-9DDE-0EC1DBA0468B}"/>
    <cellStyle name="Normal 4 4 2 3 2" xfId="1225" xr:uid="{13E2DFFD-C6B9-43A7-BE70-5F399F49A1D1}"/>
    <cellStyle name="Normal 4 4 2 4" xfId="858" xr:uid="{85EB2717-0196-4ECE-9BFF-0FBA9F27140B}"/>
    <cellStyle name="Normal 4 4 3" xfId="123" xr:uid="{553EA2F1-0087-467C-B3E3-E201BD030DD8}"/>
    <cellStyle name="Normal 4 4 3 2" xfId="260" xr:uid="{C4A7B877-5771-4837-BD4B-75DCEE76F03E}"/>
    <cellStyle name="Normal 4 4 3 2 2" xfId="627" xr:uid="{B9DD36DB-3664-4D18-9820-F9CF9E7D5F8B}"/>
    <cellStyle name="Normal 4 4 3 2 2 2" xfId="1408" xr:uid="{96FD3B60-F7B5-4D23-8CCC-F1D7E55A4079}"/>
    <cellStyle name="Normal 4 4 3 2 3" xfId="1041" xr:uid="{4101F343-3DCF-4603-876B-0360BA65BF29}"/>
    <cellStyle name="Normal 4 4 3 3" xfId="490" xr:uid="{AF4A3053-5166-4793-8969-3444554E2738}"/>
    <cellStyle name="Normal 4 4 3 3 2" xfId="1271" xr:uid="{D7319BFC-FFA8-47AA-8804-F925AD415BF7}"/>
    <cellStyle name="Normal 4 4 3 4" xfId="904" xr:uid="{3EF691BA-8613-4E64-B334-15635D243484}"/>
    <cellStyle name="Normal 4 4 4" xfId="169" xr:uid="{F5CB56DA-40E5-4C80-870F-9B35711B94F5}"/>
    <cellStyle name="Normal 4 4 4 2" xfId="536" xr:uid="{4C03D601-0EC5-4B9D-BC55-4B4D9A00F8A3}"/>
    <cellStyle name="Normal 4 4 4 2 2" xfId="1317" xr:uid="{E34E6645-BD8F-4F96-ACC7-6C3BCD11FAC9}"/>
    <cellStyle name="Normal 4 4 4 3" xfId="950" xr:uid="{13BD2E9D-294A-4A1E-873B-EA6ED9676B53}"/>
    <cellStyle name="Normal 4 4 5" xfId="306" xr:uid="{4472D5BB-DB00-4C38-82C9-816FF17E8BA7}"/>
    <cellStyle name="Normal 4 4 5 2" xfId="673" xr:uid="{D707CEA0-3D74-42FF-9699-5475188BF4FC}"/>
    <cellStyle name="Normal 4 4 5 2 2" xfId="1454" xr:uid="{7DBF59D0-5DC1-4C10-A5D6-279DF09296BF}"/>
    <cellStyle name="Normal 4 4 5 3" xfId="1087" xr:uid="{F453C482-F053-4972-8FC6-6B21832BE282}"/>
    <cellStyle name="Normal 4 4 6" xfId="352" xr:uid="{07451116-1172-4783-A1D0-2AFF497E8CE1}"/>
    <cellStyle name="Normal 4 4 6 2" xfId="719" xr:uid="{72A0CB81-87CE-4C4C-8912-21DA0479E8DB}"/>
    <cellStyle name="Normal 4 4 6 2 2" xfId="1500" xr:uid="{CCB854ED-2597-4765-99F8-899906254CBF}"/>
    <cellStyle name="Normal 4 4 6 3" xfId="1133" xr:uid="{D79DC60B-D61A-408D-A956-B44DC5492F13}"/>
    <cellStyle name="Normal 4 4 7" xfId="399" xr:uid="{53784EE1-16F7-4189-A577-8C729763FB21}"/>
    <cellStyle name="Normal 4 4 7 2" xfId="1180" xr:uid="{1C0144A0-DFCC-4BC0-901F-A8F3C1B8CC90}"/>
    <cellStyle name="Normal 4 4 8" xfId="767" xr:uid="{52626A01-3E15-4E13-9D03-CB0AEA454C5E}"/>
    <cellStyle name="Normal 4 4 8 2" xfId="1548" xr:uid="{188521E6-F3CB-4491-AAFE-DCFB5F724C3D}"/>
    <cellStyle name="Normal 4 4 9" xfId="813" xr:uid="{737B9EEA-D32E-4D27-8F35-84AD25E8432E}"/>
    <cellStyle name="Normal 4 5" xfId="55" xr:uid="{70B009FF-37FC-4988-B661-9C039A692D86}"/>
    <cellStyle name="Normal 4 5 2" xfId="193" xr:uid="{5F4A1B21-8372-4E1D-8A1F-3EAD08E86FD8}"/>
    <cellStyle name="Normal 4 5 2 2" xfId="560" xr:uid="{EB71B620-CD9F-4589-A883-F219C9B55170}"/>
    <cellStyle name="Normal 4 5 2 2 2" xfId="1341" xr:uid="{EC80E443-797F-473D-A0F2-CB37A930EBD0}"/>
    <cellStyle name="Normal 4 5 2 3" xfId="974" xr:uid="{45348821-3C41-4CB2-B9D5-AF3E5D3BA8A1}"/>
    <cellStyle name="Normal 4 5 3" xfId="422" xr:uid="{13A05DEF-59AB-4B80-A2D4-4A1D34BC3874}"/>
    <cellStyle name="Normal 4 5 3 2" xfId="1203" xr:uid="{E7CD7DC5-79D4-4263-AD18-A3E5B19F5DCB}"/>
    <cellStyle name="Normal 4 5 4" xfId="836" xr:uid="{527384C1-C2AF-4BA1-826A-96CF517B1DD2}"/>
    <cellStyle name="Normal 4 6" xfId="101" xr:uid="{DC4D120B-D9EF-4883-9905-62F4E8C28660}"/>
    <cellStyle name="Normal 4 6 2" xfId="238" xr:uid="{6E8BF0EA-B63B-47B5-A180-108E45F180B5}"/>
    <cellStyle name="Normal 4 6 2 2" xfId="605" xr:uid="{38C7422F-C31B-4064-893E-0C68787573C0}"/>
    <cellStyle name="Normal 4 6 2 2 2" xfId="1386" xr:uid="{EEEA3ADE-987C-40B9-8D96-01FD178A29D2}"/>
    <cellStyle name="Normal 4 6 2 3" xfId="1019" xr:uid="{4D6434A7-FF2F-487E-8071-E2B47EBC1EE4}"/>
    <cellStyle name="Normal 4 6 3" xfId="468" xr:uid="{626919C5-CB7B-4164-B9E1-6E9CC49E0BCD}"/>
    <cellStyle name="Normal 4 6 3 2" xfId="1249" xr:uid="{C259B29E-B2CE-493D-B22C-EB7C312BC90D}"/>
    <cellStyle name="Normal 4 6 4" xfId="882" xr:uid="{0300908C-0577-46A0-9845-0515B3775F23}"/>
    <cellStyle name="Normal 4 7" xfId="147" xr:uid="{C4578C19-5A21-4B5F-B5B7-9921D17B0894}"/>
    <cellStyle name="Normal 4 7 2" xfId="514" xr:uid="{16716BF4-9517-4110-9561-16163AEEB1B0}"/>
    <cellStyle name="Normal 4 7 2 2" xfId="1295" xr:uid="{49F03CA8-2BC4-4F26-A18E-638BB26BDD06}"/>
    <cellStyle name="Normal 4 7 3" xfId="928" xr:uid="{F95A154D-8C82-41C1-A48E-6D37FCA3D8C8}"/>
    <cellStyle name="Normal 4 8" xfId="284" xr:uid="{39AC4E43-12D2-488D-9F5A-8C84B5B8C41A}"/>
    <cellStyle name="Normal 4 8 2" xfId="651" xr:uid="{F873D276-A56D-4A0C-9092-1F27E9604501}"/>
    <cellStyle name="Normal 4 8 2 2" xfId="1432" xr:uid="{85846201-E8FC-493E-AB64-86716BCDA841}"/>
    <cellStyle name="Normal 4 8 3" xfId="1065" xr:uid="{7D8494D9-08C9-4931-8300-502E3A29AE3C}"/>
    <cellStyle name="Normal 4 9" xfId="330" xr:uid="{6AADEBB3-FD8E-4B57-AAAA-5E6EB506687C}"/>
    <cellStyle name="Normal 4 9 2" xfId="697" xr:uid="{48DF8051-CBCE-4C17-A373-AACB5CFB8D65}"/>
    <cellStyle name="Normal 4 9 2 2" xfId="1478" xr:uid="{EE8445E4-7376-4CAC-A78C-ED01273FDAFB}"/>
    <cellStyle name="Normal 4 9 3" xfId="1111" xr:uid="{196FB227-DF32-43AF-825C-2F555E3369CE}"/>
    <cellStyle name="Normal 5" xfId="10" xr:uid="{00000000-0005-0000-0000-000007000000}"/>
    <cellStyle name="Normal 6" xfId="2" xr:uid="{00000000-0005-0000-0000-000008000000}"/>
    <cellStyle name="Normal 6 10" xfId="741" xr:uid="{A98DE1DD-6CC9-48EF-A79B-527B6476F6FF}"/>
    <cellStyle name="Normal 6 10 2" xfId="1522" xr:uid="{F5B5315A-7A67-4CBC-A88D-16E5F42F5BE4}"/>
    <cellStyle name="Normal 6 11" xfId="787" xr:uid="{170EA199-1C28-430B-A0ED-9E3D51947600}"/>
    <cellStyle name="Normal 6 2" xfId="17" xr:uid="{00C0E9DA-BE3D-4007-B65D-FF9684747273}"/>
    <cellStyle name="Normal 6 2 10" xfId="798" xr:uid="{F36A3CC5-7BAB-49F1-9E17-2E149F08AE2C}"/>
    <cellStyle name="Normal 6 2 2" xfId="39" xr:uid="{BC0858FB-8073-4CC3-9A81-89280E235388}"/>
    <cellStyle name="Normal 6 2 2 2" xfId="84" xr:uid="{A2A256C7-E452-41A9-8D5A-9A938F789070}"/>
    <cellStyle name="Normal 6 2 2 2 2" xfId="222" xr:uid="{102230CF-4155-48EF-BE6D-10ED5288041F}"/>
    <cellStyle name="Normal 6 2 2 2 2 2" xfId="589" xr:uid="{35A0F8C8-3F25-45B5-BD73-F23DD2E1B2A1}"/>
    <cellStyle name="Normal 6 2 2 2 2 2 2" xfId="1370" xr:uid="{F4BFCCDB-0D5A-48D2-858A-7715091A2EF0}"/>
    <cellStyle name="Normal 6 2 2 2 2 3" xfId="1003" xr:uid="{AAB50C58-A418-42AD-9CDF-9475C1CEBC02}"/>
    <cellStyle name="Normal 6 2 2 2 3" xfId="451" xr:uid="{200040A4-92AC-43A8-9F6D-D5A9491C87DE}"/>
    <cellStyle name="Normal 6 2 2 2 3 2" xfId="1232" xr:uid="{D913867B-6A82-4844-A0B6-3974F7AA09B8}"/>
    <cellStyle name="Normal 6 2 2 2 4" xfId="865" xr:uid="{2E8A1F96-27AA-49A6-8598-AEA1B2D154CA}"/>
    <cellStyle name="Normal 6 2 2 3" xfId="130" xr:uid="{4512CAE3-C74A-41C0-BBB7-471FE1748DAE}"/>
    <cellStyle name="Normal 6 2 2 3 2" xfId="267" xr:uid="{900D3AF0-E5DB-477F-9E78-F9AB8B071DFD}"/>
    <cellStyle name="Normal 6 2 2 3 2 2" xfId="634" xr:uid="{410A5E69-3264-4FB6-8CF1-BAAF3DDD483D}"/>
    <cellStyle name="Normal 6 2 2 3 2 2 2" xfId="1415" xr:uid="{94548C29-E45A-4C10-9417-09CEA17CA259}"/>
    <cellStyle name="Normal 6 2 2 3 2 3" xfId="1048" xr:uid="{977763E8-505B-4374-B41A-C81167461496}"/>
    <cellStyle name="Normal 6 2 2 3 3" xfId="497" xr:uid="{90555EC7-A7B0-4EE1-AE86-3F05E8D6113F}"/>
    <cellStyle name="Normal 6 2 2 3 3 2" xfId="1278" xr:uid="{57745A76-CA20-49AC-B9E3-443B5840AEE2}"/>
    <cellStyle name="Normal 6 2 2 3 4" xfId="911" xr:uid="{482A53AB-9B97-4565-9F1A-BDD8F9578F07}"/>
    <cellStyle name="Normal 6 2 2 4" xfId="176" xr:uid="{61F49AC1-DFED-45F8-98C5-DFEE0978ACD2}"/>
    <cellStyle name="Normal 6 2 2 4 2" xfId="543" xr:uid="{73E358EE-583D-4C84-BE48-28D61B7A5291}"/>
    <cellStyle name="Normal 6 2 2 4 2 2" xfId="1324" xr:uid="{B0740532-721A-4E17-BBF5-C92844D19057}"/>
    <cellStyle name="Normal 6 2 2 4 3" xfId="957" xr:uid="{C20DC3E2-3255-456D-AF16-6153BFD66EC6}"/>
    <cellStyle name="Normal 6 2 2 5" xfId="313" xr:uid="{4DCEB8C8-6C01-4230-99B4-E2976910080A}"/>
    <cellStyle name="Normal 6 2 2 5 2" xfId="680" xr:uid="{E42E9D9F-556D-4E8A-8F1D-56B2D03448FD}"/>
    <cellStyle name="Normal 6 2 2 5 2 2" xfId="1461" xr:uid="{9BE91BD7-70D0-4C21-BA63-C279863837CF}"/>
    <cellStyle name="Normal 6 2 2 5 3" xfId="1094" xr:uid="{A73EA865-E8F0-42BC-A283-96563458EB01}"/>
    <cellStyle name="Normal 6 2 2 6" xfId="359" xr:uid="{F94451CF-1D57-4CE5-965B-0E202A990FD7}"/>
    <cellStyle name="Normal 6 2 2 6 2" xfId="726" xr:uid="{DA3B2DEA-074F-434B-A211-7281E7F70EE1}"/>
    <cellStyle name="Normal 6 2 2 6 2 2" xfId="1507" xr:uid="{A7BE16E6-9E51-4C78-845C-838C6AC792E0}"/>
    <cellStyle name="Normal 6 2 2 6 3" xfId="1140" xr:uid="{4F836A2F-C7E5-4A15-8119-094DD64A9ECF}"/>
    <cellStyle name="Normal 6 2 2 7" xfId="406" xr:uid="{50CF7AED-1E05-4165-ADE9-4E4CC009BB48}"/>
    <cellStyle name="Normal 6 2 2 7 2" xfId="1187" xr:uid="{54C1DC06-F74D-416D-81A0-3B61BB067F21}"/>
    <cellStyle name="Normal 6 2 2 8" xfId="774" xr:uid="{33169DF2-154F-46B9-848D-08473639C6E5}"/>
    <cellStyle name="Normal 6 2 2 8 2" xfId="1555" xr:uid="{0C528C87-A448-469F-BE8D-4A7D58879F0B}"/>
    <cellStyle name="Normal 6 2 2 9" xfId="820" xr:uid="{F539306A-CB7F-44B3-8B38-0171B046859B}"/>
    <cellStyle name="Normal 6 2 3" xfId="62" xr:uid="{B5D5A476-1E71-4FCE-B736-415EC35D496E}"/>
    <cellStyle name="Normal 6 2 3 2" xfId="200" xr:uid="{0A67A84A-C533-4B4F-B665-66F7F736FF36}"/>
    <cellStyle name="Normal 6 2 3 2 2" xfId="567" xr:uid="{FDECD930-84AD-4830-9478-275E215C8E18}"/>
    <cellStyle name="Normal 6 2 3 2 2 2" xfId="1348" xr:uid="{929356BB-5128-4934-9D44-6FBAB953BFF5}"/>
    <cellStyle name="Normal 6 2 3 2 3" xfId="981" xr:uid="{AD6A602F-A511-40F4-BE76-DA32FE558356}"/>
    <cellStyle name="Normal 6 2 3 3" xfId="429" xr:uid="{7FFF877C-ACF2-4F83-913D-85B9539498D0}"/>
    <cellStyle name="Normal 6 2 3 3 2" xfId="1210" xr:uid="{D38570A8-8D1B-4416-B8C1-12B773C8C1C6}"/>
    <cellStyle name="Normal 6 2 3 4" xfId="843" xr:uid="{255C9FC6-FBC8-46FA-AE37-460919F32221}"/>
    <cellStyle name="Normal 6 2 4" xfId="108" xr:uid="{B2F80642-9653-4324-A647-2D43BCA3219D}"/>
    <cellStyle name="Normal 6 2 4 2" xfId="245" xr:uid="{FC570BD5-BD66-4C24-A4EE-98731E1B5195}"/>
    <cellStyle name="Normal 6 2 4 2 2" xfId="612" xr:uid="{32936067-E4E9-4CED-885D-6917633F7D1A}"/>
    <cellStyle name="Normal 6 2 4 2 2 2" xfId="1393" xr:uid="{70FD7A33-28C1-42C5-979B-C5C04E3F7382}"/>
    <cellStyle name="Normal 6 2 4 2 3" xfId="1026" xr:uid="{F03B4443-11E1-43B7-B3D8-BB212A4C8C61}"/>
    <cellStyle name="Normal 6 2 4 3" xfId="475" xr:uid="{DFECD628-2636-4EDC-A26E-C2DE371A3DD4}"/>
    <cellStyle name="Normal 6 2 4 3 2" xfId="1256" xr:uid="{5D88B233-950E-448F-ADE7-73A769BE31B2}"/>
    <cellStyle name="Normal 6 2 4 4" xfId="889" xr:uid="{760ABD00-0F33-49C1-8C83-01EF64DBCAB1}"/>
    <cellStyle name="Normal 6 2 5" xfId="154" xr:uid="{D33D805A-1024-4917-A8D4-AA2C4C7273A9}"/>
    <cellStyle name="Normal 6 2 5 2" xfId="521" xr:uid="{79355E16-A4AF-4E50-8BC9-A342E286C972}"/>
    <cellStyle name="Normal 6 2 5 2 2" xfId="1302" xr:uid="{ACD37693-73E2-45CB-9A5D-E9FC45759143}"/>
    <cellStyle name="Normal 6 2 5 3" xfId="935" xr:uid="{0E76D360-CC0B-4BDF-8CB3-15347758B274}"/>
    <cellStyle name="Normal 6 2 6" xfId="291" xr:uid="{664C218A-477B-41B1-BBCF-D3401579A69A}"/>
    <cellStyle name="Normal 6 2 6 2" xfId="658" xr:uid="{3B387DED-2654-486F-BCCC-70A9D6C057C5}"/>
    <cellStyle name="Normal 6 2 6 2 2" xfId="1439" xr:uid="{BE86CDD7-9AA4-4748-8E68-EBD8981B9417}"/>
    <cellStyle name="Normal 6 2 6 3" xfId="1072" xr:uid="{DC083468-5D61-43AE-829B-E73269CF3B60}"/>
    <cellStyle name="Normal 6 2 7" xfId="337" xr:uid="{6AC931EE-B087-4C63-B139-B2BB498C4AD1}"/>
    <cellStyle name="Normal 6 2 7 2" xfId="704" xr:uid="{B7D1F754-A971-46E9-B143-0C1A5E2A2EEA}"/>
    <cellStyle name="Normal 6 2 7 2 2" xfId="1485" xr:uid="{19E7C7BB-C2D4-4466-89B4-11A757469684}"/>
    <cellStyle name="Normal 6 2 7 3" xfId="1118" xr:uid="{F9076DC5-8471-4EAE-AC62-684309D4DAA8}"/>
    <cellStyle name="Normal 6 2 8" xfId="384" xr:uid="{3E812560-95CA-4394-8CD0-040449782535}"/>
    <cellStyle name="Normal 6 2 8 2" xfId="1165" xr:uid="{21BC00DA-90BA-4703-B1AB-69355E34F3E8}"/>
    <cellStyle name="Normal 6 2 9" xfId="752" xr:uid="{C1FC7B87-2EB5-40B7-B78C-50D3479F6169}"/>
    <cellStyle name="Normal 6 2 9 2" xfId="1533" xr:uid="{ACD8C672-2C31-4CA3-AC36-AD23191FACCD}"/>
    <cellStyle name="Normal 6 3" xfId="28" xr:uid="{75CA80F1-35F2-459C-BF48-A802453E0C32}"/>
    <cellStyle name="Normal 6 3 2" xfId="73" xr:uid="{71D4C034-F3BE-42FC-820D-FFE3EAE406C6}"/>
    <cellStyle name="Normal 6 3 2 2" xfId="211" xr:uid="{90033919-E10F-4C54-B02D-35D3BBB96A60}"/>
    <cellStyle name="Normal 6 3 2 2 2" xfId="578" xr:uid="{9E379F07-305B-49E4-8062-6D415B9004EB}"/>
    <cellStyle name="Normal 6 3 2 2 2 2" xfId="1359" xr:uid="{FC1AC708-13C2-47C0-89B6-E9D6C4CEEA74}"/>
    <cellStyle name="Normal 6 3 2 2 3" xfId="992" xr:uid="{F96C1F9D-6053-4634-92DE-B50334A8000E}"/>
    <cellStyle name="Normal 6 3 2 3" xfId="440" xr:uid="{918DBC9D-3375-46AE-8790-19A65BA4DFA0}"/>
    <cellStyle name="Normal 6 3 2 3 2" xfId="1221" xr:uid="{DBD50B5E-C610-4843-9B6D-48D7A3CCD306}"/>
    <cellStyle name="Normal 6 3 2 4" xfId="854" xr:uid="{D24C41DD-1914-4B71-AA23-DA92734C67BA}"/>
    <cellStyle name="Normal 6 3 3" xfId="119" xr:uid="{0C294EE5-FEC4-4FC9-A32C-83796E6EAE20}"/>
    <cellStyle name="Normal 6 3 3 2" xfId="256" xr:uid="{3B890FA1-656A-494E-9E0E-16D9CD50F4D2}"/>
    <cellStyle name="Normal 6 3 3 2 2" xfId="623" xr:uid="{4EE4E175-1CDF-4E46-97D2-634C5A012558}"/>
    <cellStyle name="Normal 6 3 3 2 2 2" xfId="1404" xr:uid="{79004F74-0411-4B66-A922-E872DF0F1310}"/>
    <cellStyle name="Normal 6 3 3 2 3" xfId="1037" xr:uid="{AC2D0E03-E45F-466F-B7D4-8F9C5A1C2DE1}"/>
    <cellStyle name="Normal 6 3 3 3" xfId="486" xr:uid="{EE87AFD0-F326-45FA-AA82-7B53B936461C}"/>
    <cellStyle name="Normal 6 3 3 3 2" xfId="1267" xr:uid="{D938B068-8C4D-4B00-A829-92587EE43ED6}"/>
    <cellStyle name="Normal 6 3 3 4" xfId="900" xr:uid="{99773759-9B28-46ED-BB93-F452C0A83824}"/>
    <cellStyle name="Normal 6 3 4" xfId="165" xr:uid="{549C7DF8-6C18-4B82-BA9E-34354FC375CF}"/>
    <cellStyle name="Normal 6 3 4 2" xfId="532" xr:uid="{4B5D808A-F04E-45DF-A9F3-4E1027C4B846}"/>
    <cellStyle name="Normal 6 3 4 2 2" xfId="1313" xr:uid="{25962B62-CD16-4F82-8D05-3528A1532F5D}"/>
    <cellStyle name="Normal 6 3 4 3" xfId="946" xr:uid="{AA3C7C81-165C-404B-BD66-0FE4BE9EDC0A}"/>
    <cellStyle name="Normal 6 3 5" xfId="302" xr:uid="{237280B6-87F9-451A-A2C1-FF69CF443BF1}"/>
    <cellStyle name="Normal 6 3 5 2" xfId="669" xr:uid="{35EA23C6-1815-4A63-BCD0-A41931F4B232}"/>
    <cellStyle name="Normal 6 3 5 2 2" xfId="1450" xr:uid="{A2B5BDD2-C848-4999-84E0-C573F0322A27}"/>
    <cellStyle name="Normal 6 3 5 3" xfId="1083" xr:uid="{B600EAEB-0336-4AF8-86DD-435CD7349BD7}"/>
    <cellStyle name="Normal 6 3 6" xfId="348" xr:uid="{00999E70-D59C-4A2F-8FEB-8B4F800B9AA9}"/>
    <cellStyle name="Normal 6 3 6 2" xfId="715" xr:uid="{699E18A2-D9EA-4EDE-8504-7726AC3F9AAC}"/>
    <cellStyle name="Normal 6 3 6 2 2" xfId="1496" xr:uid="{87A6427B-2A90-4D40-9992-1D8C7B45F24F}"/>
    <cellStyle name="Normal 6 3 6 3" xfId="1129" xr:uid="{02C64998-573D-4E54-BA7B-7663BD39E76D}"/>
    <cellStyle name="Normal 6 3 7" xfId="395" xr:uid="{BF7A1350-006D-4247-9F1D-A3E46291330F}"/>
    <cellStyle name="Normal 6 3 7 2" xfId="1176" xr:uid="{2FE3F090-934C-4D38-A8EC-B35008BE46B3}"/>
    <cellStyle name="Normal 6 3 8" xfId="763" xr:uid="{69526CA5-CC07-4752-A82E-EC884C729EE5}"/>
    <cellStyle name="Normal 6 3 8 2" xfId="1544" xr:uid="{F9BB8872-625E-40C1-8CBD-B1B00CB07DF5}"/>
    <cellStyle name="Normal 6 3 9" xfId="809" xr:uid="{20194985-50B1-41A2-94A8-4DA5897C49EE}"/>
    <cellStyle name="Normal 6 4" xfId="51" xr:uid="{C55B88BA-3462-4360-9EF8-D369DDF243ED}"/>
    <cellStyle name="Normal 6 4 2" xfId="189" xr:uid="{EFC084BF-E2E1-4D8E-94A6-66D4B2FC782D}"/>
    <cellStyle name="Normal 6 4 2 2" xfId="556" xr:uid="{18B9B788-CD21-49E1-9ED1-BDF54B3EF97F}"/>
    <cellStyle name="Normal 6 4 2 2 2" xfId="1337" xr:uid="{F76E2C10-1D63-44D2-956F-548B3FD8656C}"/>
    <cellStyle name="Normal 6 4 2 3" xfId="970" xr:uid="{461D1F4C-F0B9-4228-BBD0-523035936634}"/>
    <cellStyle name="Normal 6 4 3" xfId="418" xr:uid="{9726CAD0-BDBA-4FD2-9BAA-3BA12029F8C7}"/>
    <cellStyle name="Normal 6 4 3 2" xfId="1199" xr:uid="{1F209CB2-D680-4AA0-92A5-892ADBD350BB}"/>
    <cellStyle name="Normal 6 4 4" xfId="832" xr:uid="{F31BDFD1-52D3-40F2-9122-7FE1BA5BEC93}"/>
    <cellStyle name="Normal 6 5" xfId="97" xr:uid="{9B5D6397-A159-4187-B546-8610266DE035}"/>
    <cellStyle name="Normal 6 5 2" xfId="234" xr:uid="{A6742CB2-FF7F-434E-AC35-178135BB7BB2}"/>
    <cellStyle name="Normal 6 5 2 2" xfId="601" xr:uid="{4DC6D6A1-74D7-4032-B286-327F3A077012}"/>
    <cellStyle name="Normal 6 5 2 2 2" xfId="1382" xr:uid="{A170C7A5-4F5F-444E-ACDB-B73D1CDCAA05}"/>
    <cellStyle name="Normal 6 5 2 3" xfId="1015" xr:uid="{A6DD940F-1992-4E00-B9DE-8201305D70FF}"/>
    <cellStyle name="Normal 6 5 3" xfId="464" xr:uid="{6E615769-9EE3-46C3-925B-474A57D51A35}"/>
    <cellStyle name="Normal 6 5 3 2" xfId="1245" xr:uid="{366811CB-FE72-46F0-82E0-D4827BD4DC74}"/>
    <cellStyle name="Normal 6 5 4" xfId="878" xr:uid="{0E410BEC-40DE-48F3-AF73-6FCFD6E65B00}"/>
    <cellStyle name="Normal 6 6" xfId="143" xr:uid="{325B0BFD-006D-4692-870E-B9EAF1BE87B5}"/>
    <cellStyle name="Normal 6 6 2" xfId="510" xr:uid="{5857CF5D-E793-403A-854A-46BB1127A4EB}"/>
    <cellStyle name="Normal 6 6 2 2" xfId="1291" xr:uid="{291D457A-2DB3-43FA-A571-E29C7E5D942E}"/>
    <cellStyle name="Normal 6 6 3" xfId="924" xr:uid="{21AA8D40-3A12-4B70-B8D8-9317C2200B70}"/>
    <cellStyle name="Normal 6 7" xfId="280" xr:uid="{68C3D9A8-BBA1-4A21-B315-05C915C003DC}"/>
    <cellStyle name="Normal 6 7 2" xfId="647" xr:uid="{CDD76A44-656B-4813-86F6-E0DC2D8FD5CA}"/>
    <cellStyle name="Normal 6 7 2 2" xfId="1428" xr:uid="{A75619BD-8F69-4F15-9C22-45A1F0A70946}"/>
    <cellStyle name="Normal 6 7 3" xfId="1061" xr:uid="{6C639830-AEE8-4501-9FAB-F71D7F1C0F88}"/>
    <cellStyle name="Normal 6 8" xfId="326" xr:uid="{1A39A1B3-5AEE-4825-BCFC-6DEBD54881AE}"/>
    <cellStyle name="Normal 6 8 2" xfId="693" xr:uid="{46697CE9-CD15-4ECE-BAF2-982F2A5F6730}"/>
    <cellStyle name="Normal 6 8 2 2" xfId="1474" xr:uid="{608C98E6-87C9-4E70-95B2-53BFA33F8391}"/>
    <cellStyle name="Normal 6 8 3" xfId="1107" xr:uid="{1877E9D8-F245-40F8-B7AF-6D1F69C356D2}"/>
    <cellStyle name="Normal 6 9" xfId="373" xr:uid="{0F01355A-5A09-4763-9C8A-84CFBD811BE5}"/>
    <cellStyle name="Normal 6 9 2" xfId="1154" xr:uid="{F281522A-5C58-4130-B8CC-45992B9FDB13}"/>
    <cellStyle name="Normal 7" xfId="11" xr:uid="{00000000-0005-0000-0000-000009000000}"/>
    <cellStyle name="Normal 7 10" xfId="746" xr:uid="{A3E2146A-36EE-495C-A773-FD7268F2003F}"/>
    <cellStyle name="Normal 7 10 2" xfId="1527" xr:uid="{225F9B68-6EBB-4A35-BEFF-1AD22400CFB9}"/>
    <cellStyle name="Normal 7 11" xfId="792" xr:uid="{C24650C0-8848-4F25-A03E-D1D399468363}"/>
    <cellStyle name="Normal 7 2" xfId="22" xr:uid="{75DE03F6-2517-4CB6-A4DD-9D2A954B14F1}"/>
    <cellStyle name="Normal 7 2 10" xfId="803" xr:uid="{21163663-3FA7-4203-92E9-073F6281381D}"/>
    <cellStyle name="Normal 7 2 2" xfId="44" xr:uid="{5E8BFD2F-C28C-4C6D-8726-30998CDB3094}"/>
    <cellStyle name="Normal 7 2 2 2" xfId="89" xr:uid="{4093603C-A50A-4A36-AEC6-39E403F659CC}"/>
    <cellStyle name="Normal 7 2 2 2 2" xfId="227" xr:uid="{2E5F98FC-A782-4E1C-9CED-991C49301EE8}"/>
    <cellStyle name="Normal 7 2 2 2 2 2" xfId="594" xr:uid="{8373E6C8-49D0-491D-B03D-0D6D22FFBACD}"/>
    <cellStyle name="Normal 7 2 2 2 2 2 2" xfId="1375" xr:uid="{683AB36E-3D89-4638-A833-A2CC04103D68}"/>
    <cellStyle name="Normal 7 2 2 2 2 3" xfId="1008" xr:uid="{5A03D713-67D2-4ACB-94B6-4B458B9A26C6}"/>
    <cellStyle name="Normal 7 2 2 2 3" xfId="456" xr:uid="{3E84222D-936D-4A29-B972-FE555251B266}"/>
    <cellStyle name="Normal 7 2 2 2 3 2" xfId="1237" xr:uid="{C861CD09-97FA-4A6A-BC3D-63252A9B284E}"/>
    <cellStyle name="Normal 7 2 2 2 4" xfId="870" xr:uid="{68DDC417-ED2D-414E-9941-0A77B57316CF}"/>
    <cellStyle name="Normal 7 2 2 3" xfId="135" xr:uid="{9FC29768-8119-4FC4-978A-9B5E5E3C8BA7}"/>
    <cellStyle name="Normal 7 2 2 3 2" xfId="272" xr:uid="{74E40EDD-3A10-457C-9BDD-860893E2C49E}"/>
    <cellStyle name="Normal 7 2 2 3 2 2" xfId="639" xr:uid="{9CDAD9E8-D947-4A01-BC97-00555BED09CD}"/>
    <cellStyle name="Normal 7 2 2 3 2 2 2" xfId="1420" xr:uid="{234D1FA4-5F34-48C0-A3D6-D21BB1732C78}"/>
    <cellStyle name="Normal 7 2 2 3 2 3" xfId="1053" xr:uid="{4FB8ED01-8B55-42C8-8AD8-B940F77F06EB}"/>
    <cellStyle name="Normal 7 2 2 3 3" xfId="502" xr:uid="{BF76397E-1D82-4A16-A6BF-A3B51720D348}"/>
    <cellStyle name="Normal 7 2 2 3 3 2" xfId="1283" xr:uid="{6D3EAC32-C061-4745-9106-F866C02AC346}"/>
    <cellStyle name="Normal 7 2 2 3 4" xfId="916" xr:uid="{D726FABD-06F2-4E1A-AD0D-1CC6ADF6CB7A}"/>
    <cellStyle name="Normal 7 2 2 4" xfId="181" xr:uid="{58CC9F0C-7B0C-4990-B7C8-903671334741}"/>
    <cellStyle name="Normal 7 2 2 4 2" xfId="548" xr:uid="{1FA1E8CB-C7AE-4DE9-BF81-A0A5825A8A0A}"/>
    <cellStyle name="Normal 7 2 2 4 2 2" xfId="1329" xr:uid="{A32C308D-9859-42B0-8858-56CE462EB42F}"/>
    <cellStyle name="Normal 7 2 2 4 3" xfId="962" xr:uid="{270C718F-718A-4021-86B4-AECBC3A5753C}"/>
    <cellStyle name="Normal 7 2 2 5" xfId="318" xr:uid="{862BC1AA-2A8B-4587-867A-9E0DAABA9D6E}"/>
    <cellStyle name="Normal 7 2 2 5 2" xfId="685" xr:uid="{05D23988-B334-42A0-8708-6295B14AA35A}"/>
    <cellStyle name="Normal 7 2 2 5 2 2" xfId="1466" xr:uid="{BA5912B9-0FFC-4610-AFCC-8EDAC19ECD8D}"/>
    <cellStyle name="Normal 7 2 2 5 3" xfId="1099" xr:uid="{F9955D07-7281-48EF-8FBA-7A535E281455}"/>
    <cellStyle name="Normal 7 2 2 6" xfId="364" xr:uid="{6BD194B4-3C2A-4D66-B024-5DBAD5AAEF17}"/>
    <cellStyle name="Normal 7 2 2 6 2" xfId="731" xr:uid="{FF34E347-30BD-45FF-BC81-FD61AA4BFD5C}"/>
    <cellStyle name="Normal 7 2 2 6 2 2" xfId="1512" xr:uid="{93A1CAEA-2355-466D-B42A-257964940E2C}"/>
    <cellStyle name="Normal 7 2 2 6 3" xfId="1145" xr:uid="{DAF0E70D-0CD8-4D85-BD74-1D6E0029EAD2}"/>
    <cellStyle name="Normal 7 2 2 7" xfId="411" xr:uid="{14910455-AFA3-4B39-88ED-3E3A354E2C8A}"/>
    <cellStyle name="Normal 7 2 2 7 2" xfId="1192" xr:uid="{357599E2-9020-4980-AA09-FCD9991479AE}"/>
    <cellStyle name="Normal 7 2 2 8" xfId="779" xr:uid="{849FB412-2DBE-48E1-989C-3496C39EFE7B}"/>
    <cellStyle name="Normal 7 2 2 8 2" xfId="1560" xr:uid="{29A3D32F-F668-4DB2-B5A7-F94B5021A5FC}"/>
    <cellStyle name="Normal 7 2 2 9" xfId="825" xr:uid="{1742D060-6DD0-45E1-B016-1D5085DE8917}"/>
    <cellStyle name="Normal 7 2 3" xfId="67" xr:uid="{B732A373-2322-43D6-860E-AC7553597CA3}"/>
    <cellStyle name="Normal 7 2 3 2" xfId="205" xr:uid="{5F2CD56D-DA38-4567-98C6-CBFFD716B556}"/>
    <cellStyle name="Normal 7 2 3 2 2" xfId="572" xr:uid="{91E43CE4-7E39-4D26-9FC8-A33BDD58E4DA}"/>
    <cellStyle name="Normal 7 2 3 2 2 2" xfId="1353" xr:uid="{E53EE5CA-1AD4-4144-9B5E-D2D7C0EAC9D0}"/>
    <cellStyle name="Normal 7 2 3 2 3" xfId="986" xr:uid="{87C016B5-A831-43E1-8DBA-9E7CA78652C2}"/>
    <cellStyle name="Normal 7 2 3 3" xfId="434" xr:uid="{24315624-1242-488D-BAED-6235D4109302}"/>
    <cellStyle name="Normal 7 2 3 3 2" xfId="1215" xr:uid="{F1856CBE-2E3B-4790-BF48-26B5C571AE57}"/>
    <cellStyle name="Normal 7 2 3 4" xfId="848" xr:uid="{98A3BB2B-97CB-4E60-9E56-0A5530ADA101}"/>
    <cellStyle name="Normal 7 2 4" xfId="113" xr:uid="{B01A69FC-D8B6-4651-BBC7-124B16D5FE1E}"/>
    <cellStyle name="Normal 7 2 4 2" xfId="250" xr:uid="{EB2B30F2-92B0-4884-928F-8F535E3DE628}"/>
    <cellStyle name="Normal 7 2 4 2 2" xfId="617" xr:uid="{BE94AA4A-3650-4F38-B05B-38286CEAB147}"/>
    <cellStyle name="Normal 7 2 4 2 2 2" xfId="1398" xr:uid="{7D710318-F95E-48B3-BECB-C3F15DEBE9CC}"/>
    <cellStyle name="Normal 7 2 4 2 3" xfId="1031" xr:uid="{F21ED52E-F203-482B-B6D9-A92A6263FA0A}"/>
    <cellStyle name="Normal 7 2 4 3" xfId="480" xr:uid="{BFE14DFA-BA61-4543-8431-B6E1A8B7DC2D}"/>
    <cellStyle name="Normal 7 2 4 3 2" xfId="1261" xr:uid="{C4B7BA2D-FC11-4FA9-83B0-AF314E546993}"/>
    <cellStyle name="Normal 7 2 4 4" xfId="894" xr:uid="{75E6655F-5D57-4B41-B850-BCB23A82C7DD}"/>
    <cellStyle name="Normal 7 2 5" xfId="159" xr:uid="{F7D7ADC6-826F-4A30-972C-109E448B6018}"/>
    <cellStyle name="Normal 7 2 5 2" xfId="526" xr:uid="{318BB74E-D983-4EFD-8B1B-B6F6559067F0}"/>
    <cellStyle name="Normal 7 2 5 2 2" xfId="1307" xr:uid="{C60BDAAD-CF02-4B3F-85C3-D9A58698E265}"/>
    <cellStyle name="Normal 7 2 5 3" xfId="940" xr:uid="{E23F6452-57EA-4A29-85CD-04DD794C2353}"/>
    <cellStyle name="Normal 7 2 6" xfId="296" xr:uid="{F8BE757F-7947-4D70-AEA2-C589E34997CC}"/>
    <cellStyle name="Normal 7 2 6 2" xfId="663" xr:uid="{BB595412-1490-4B56-8841-9112FF8A80F1}"/>
    <cellStyle name="Normal 7 2 6 2 2" xfId="1444" xr:uid="{5C026224-CEDA-432F-A5AA-9BF3FDE2D4CB}"/>
    <cellStyle name="Normal 7 2 6 3" xfId="1077" xr:uid="{4AB8C7D3-C6D4-4728-932B-7B2F602BA0C7}"/>
    <cellStyle name="Normal 7 2 7" xfId="342" xr:uid="{DD7B0975-9FCD-4EF3-8141-F04051464122}"/>
    <cellStyle name="Normal 7 2 7 2" xfId="709" xr:uid="{6E4D60BE-959E-411B-9167-F80F1400CF28}"/>
    <cellStyle name="Normal 7 2 7 2 2" xfId="1490" xr:uid="{B50B5EE5-EE8D-41A8-B1F8-DF874E49784E}"/>
    <cellStyle name="Normal 7 2 7 3" xfId="1123" xr:uid="{DD66325B-C747-4BDC-A6C9-1355589CFD8D}"/>
    <cellStyle name="Normal 7 2 8" xfId="389" xr:uid="{683C0E82-14BC-4F1D-B793-378E9EE3A72A}"/>
    <cellStyle name="Normal 7 2 8 2" xfId="1170" xr:uid="{A8A1AB75-6D60-47DC-8123-D86333C32386}"/>
    <cellStyle name="Normal 7 2 9" xfId="757" xr:uid="{5AB6125B-F927-4A95-B432-7B9D69C13AA1}"/>
    <cellStyle name="Normal 7 2 9 2" xfId="1538" xr:uid="{CE215AF3-F96E-416C-8149-357667339B4B}"/>
    <cellStyle name="Normal 7 3" xfId="33" xr:uid="{8DF59331-BCCD-484A-BFED-775761DFF9E0}"/>
    <cellStyle name="Normal 7 3 2" xfId="78" xr:uid="{AC55786B-FAAF-42FE-96D4-8A639DF24CC2}"/>
    <cellStyle name="Normal 7 3 2 2" xfId="216" xr:uid="{331CEA19-2D62-4596-949B-6068F84BAB7B}"/>
    <cellStyle name="Normal 7 3 2 2 2" xfId="583" xr:uid="{661E9D1B-6D69-4E36-BA76-0FA9691701E5}"/>
    <cellStyle name="Normal 7 3 2 2 2 2" xfId="1364" xr:uid="{8C148698-28A4-462F-AF9A-FD881BEDC18D}"/>
    <cellStyle name="Normal 7 3 2 2 3" xfId="997" xr:uid="{4091DC06-704F-4D43-BABC-2213600D9593}"/>
    <cellStyle name="Normal 7 3 2 3" xfId="445" xr:uid="{14DFCA37-BB3D-42E7-B67E-5970C5A363CA}"/>
    <cellStyle name="Normal 7 3 2 3 2" xfId="1226" xr:uid="{8DF94FD9-E839-4660-BBCD-BA50271B603A}"/>
    <cellStyle name="Normal 7 3 2 4" xfId="859" xr:uid="{47254605-AC1E-4789-B9EC-B5E26BAA0C80}"/>
    <cellStyle name="Normal 7 3 3" xfId="124" xr:uid="{F79D1867-934E-43D0-8F63-F8FEF67E34E4}"/>
    <cellStyle name="Normal 7 3 3 2" xfId="261" xr:uid="{56148A99-6269-4978-BD18-2074CC52185F}"/>
    <cellStyle name="Normal 7 3 3 2 2" xfId="628" xr:uid="{09949627-D794-471E-8040-2387B6AAA925}"/>
    <cellStyle name="Normal 7 3 3 2 2 2" xfId="1409" xr:uid="{9BFEA06E-6329-4FB2-9D5F-F51998A45073}"/>
    <cellStyle name="Normal 7 3 3 2 3" xfId="1042" xr:uid="{0B5DFD54-1EAE-476A-80FE-F443315D6D3D}"/>
    <cellStyle name="Normal 7 3 3 3" xfId="491" xr:uid="{54A2D6C5-2100-4574-86EF-644A5C0AE4D5}"/>
    <cellStyle name="Normal 7 3 3 3 2" xfId="1272" xr:uid="{D628B77A-8AEF-49E8-BBDF-DA52E96C77F6}"/>
    <cellStyle name="Normal 7 3 3 4" xfId="905" xr:uid="{001B10A9-EB06-48AF-AB4A-7D61FC3D52FE}"/>
    <cellStyle name="Normal 7 3 4" xfId="170" xr:uid="{8668FE18-2FA8-4BDD-A68D-739BFBCBB0DD}"/>
    <cellStyle name="Normal 7 3 4 2" xfId="537" xr:uid="{7461D341-B184-4DD0-9D8C-FE0D621693A5}"/>
    <cellStyle name="Normal 7 3 4 2 2" xfId="1318" xr:uid="{8D4227BD-ED0D-4580-98F9-C7ED734BAC74}"/>
    <cellStyle name="Normal 7 3 4 3" xfId="951" xr:uid="{56008DAF-67C6-4C72-BD7E-7CF001094A39}"/>
    <cellStyle name="Normal 7 3 5" xfId="307" xr:uid="{9E93A77E-2EB9-4350-942D-3F1DA6F7B977}"/>
    <cellStyle name="Normal 7 3 5 2" xfId="674" xr:uid="{53D95DA6-F7DB-486D-886E-3486413B3469}"/>
    <cellStyle name="Normal 7 3 5 2 2" xfId="1455" xr:uid="{8C2D7D7F-BB6A-4F5D-9116-8BB1CF55486B}"/>
    <cellStyle name="Normal 7 3 5 3" xfId="1088" xr:uid="{41B59B01-B729-4C48-803E-C3638DEDCEBB}"/>
    <cellStyle name="Normal 7 3 6" xfId="353" xr:uid="{695C9E1B-6278-4A1A-A848-B3843F02CCBA}"/>
    <cellStyle name="Normal 7 3 6 2" xfId="720" xr:uid="{A984B94D-D1EF-4188-A2E0-0D09A51A8F6D}"/>
    <cellStyle name="Normal 7 3 6 2 2" xfId="1501" xr:uid="{14A982E3-ABE6-4B3E-84DF-718CF9BAD93F}"/>
    <cellStyle name="Normal 7 3 6 3" xfId="1134" xr:uid="{7C3F80BB-2B9A-4E42-B374-7AE663918882}"/>
    <cellStyle name="Normal 7 3 7" xfId="400" xr:uid="{3F997775-4A08-4C56-8099-325DC0BF5752}"/>
    <cellStyle name="Normal 7 3 7 2" xfId="1181" xr:uid="{FB7764D0-F39E-4F87-B603-4CCE1838376F}"/>
    <cellStyle name="Normal 7 3 8" xfId="768" xr:uid="{26B95437-2B6E-4BB1-A87E-2B83B8AAFE48}"/>
    <cellStyle name="Normal 7 3 8 2" xfId="1549" xr:uid="{5FB690FA-D4E6-4509-BC04-8D7F86001370}"/>
    <cellStyle name="Normal 7 3 9" xfId="814" xr:uid="{A5F96838-337B-4D03-BF8B-341C7E55F6D0}"/>
    <cellStyle name="Normal 7 4" xfId="56" xr:uid="{D33BB277-C168-4DDB-B3D4-DA42A34871E6}"/>
    <cellStyle name="Normal 7 4 2" xfId="194" xr:uid="{DF696DF7-0F44-43E6-83D1-6216F8CA5B3C}"/>
    <cellStyle name="Normal 7 4 2 2" xfId="561" xr:uid="{6909694A-2E0E-4B79-BE0F-4262F5381705}"/>
    <cellStyle name="Normal 7 4 2 2 2" xfId="1342" xr:uid="{08C40E97-B229-4AF6-9D86-FCF410447C07}"/>
    <cellStyle name="Normal 7 4 2 3" xfId="975" xr:uid="{3DF26964-B424-4CC2-A34D-99FAD9510A5B}"/>
    <cellStyle name="Normal 7 4 3" xfId="423" xr:uid="{B3D27B38-DAF2-4189-8472-48A1E21E1C49}"/>
    <cellStyle name="Normal 7 4 3 2" xfId="1204" xr:uid="{96B9FB9C-C99A-4617-A863-A6BC499DD643}"/>
    <cellStyle name="Normal 7 4 4" xfId="837" xr:uid="{F507D156-BB56-4256-B60E-0DEFB30A81EE}"/>
    <cellStyle name="Normal 7 5" xfId="102" xr:uid="{536FCA68-4E03-4C6A-8B1A-A47F203B1FDC}"/>
    <cellStyle name="Normal 7 5 2" xfId="239" xr:uid="{30D5BA7C-E7EA-41F3-9E9C-F7A608FC9A7A}"/>
    <cellStyle name="Normal 7 5 2 2" xfId="606" xr:uid="{B2DB3814-C2CD-45AE-9378-02F00946077C}"/>
    <cellStyle name="Normal 7 5 2 2 2" xfId="1387" xr:uid="{AB42048F-8492-4B02-B0FA-7012BF47D41D}"/>
    <cellStyle name="Normal 7 5 2 3" xfId="1020" xr:uid="{614F27CC-456F-444C-96A2-DD4B7A421EE0}"/>
    <cellStyle name="Normal 7 5 3" xfId="469" xr:uid="{AD33A6A0-E39F-41DF-8AAF-D63317B8DAB6}"/>
    <cellStyle name="Normal 7 5 3 2" xfId="1250" xr:uid="{EC463E88-4E85-4C06-835D-B7720CB08DA1}"/>
    <cellStyle name="Normal 7 5 4" xfId="883" xr:uid="{AAA42B53-C982-40F6-9885-1F8E503BA066}"/>
    <cellStyle name="Normal 7 6" xfId="148" xr:uid="{A9DC61C5-0426-43C2-A1D6-945D035EFA91}"/>
    <cellStyle name="Normal 7 6 2" xfId="515" xr:uid="{BDE413F8-BF9C-41A5-9151-B01B880C10CD}"/>
    <cellStyle name="Normal 7 6 2 2" xfId="1296" xr:uid="{34A94A8A-E56B-4E60-BB53-782AC55B6E96}"/>
    <cellStyle name="Normal 7 6 3" xfId="929" xr:uid="{33DC229B-3D44-4685-BD24-440DC496C35E}"/>
    <cellStyle name="Normal 7 7" xfId="285" xr:uid="{CD4D0105-7864-4A9C-8F3E-DB8B72D6EF13}"/>
    <cellStyle name="Normal 7 7 2" xfId="652" xr:uid="{E2935940-BCAB-4340-AA58-2D1834B20938}"/>
    <cellStyle name="Normal 7 7 2 2" xfId="1433" xr:uid="{EDA9CBD6-ECDF-476C-B958-3302F5A08159}"/>
    <cellStyle name="Normal 7 7 3" xfId="1066" xr:uid="{4EBBD982-2114-4444-BF5D-F96C4B252C90}"/>
    <cellStyle name="Normal 7 8" xfId="331" xr:uid="{745C13ED-9508-4C64-800F-3BDBFC5837A8}"/>
    <cellStyle name="Normal 7 8 2" xfId="698" xr:uid="{02277C0A-51E3-4F52-8373-69B5BAEE6507}"/>
    <cellStyle name="Normal 7 8 2 2" xfId="1479" xr:uid="{0CD1EA89-59A8-4A5D-A5E9-EF843E11BE2C}"/>
    <cellStyle name="Normal 7 8 3" xfId="1112" xr:uid="{CE504558-9ACB-4B0E-AAFC-2E6C950A25F4}"/>
    <cellStyle name="Normal 7 9" xfId="378" xr:uid="{9E3CAA56-58C2-427B-800A-70B96463797A}"/>
    <cellStyle name="Normal 7 9 2" xfId="1159" xr:uid="{DDE8D1F1-177B-4A71-AEAA-14EC45BF5949}"/>
    <cellStyle name="Normal 8" xfId="370" xr:uid="{2F68BF5C-16CE-420E-B23F-09675735EF66}"/>
    <cellStyle name="Normal 8 2" xfId="737" xr:uid="{FEB4B048-93D8-4664-9288-C26353482DA6}"/>
    <cellStyle name="Normal 8 2 2" xfId="1518" xr:uid="{47D80744-EF9B-4894-8B52-48B2D402918D}"/>
    <cellStyle name="Normal 8 3" xfId="1151" xr:uid="{3284D257-6224-4A61-AAE8-49ACB843D5DD}"/>
    <cellStyle name="Normal 9" xfId="371" xr:uid="{C8B3070E-6CC1-4518-8976-28AD050AC848}"/>
    <cellStyle name="Normal 9 2" xfId="738" xr:uid="{2876DBF6-6FD7-4193-8C8B-8443E7CC100A}"/>
    <cellStyle name="Normal 9 2 2" xfId="1519" xr:uid="{ECD170C0-9408-40BA-A25C-397329CF9286}"/>
    <cellStyle name="Normal 9 3" xfId="1152" xr:uid="{9A1D3C59-0F6B-4FCC-A7D0-7771803E6E3B}"/>
    <cellStyle name="Porcentagem 2" xfId="8" xr:uid="{00000000-0005-0000-0000-00000A000000}"/>
    <cellStyle name="Porcentagem 2 10" xfId="744" xr:uid="{67F406DD-C1CA-4579-BB73-C582DD27A709}"/>
    <cellStyle name="Porcentagem 2 10 2" xfId="1525" xr:uid="{721A8CB3-A479-4C86-BCA9-C6DAF72204FD}"/>
    <cellStyle name="Porcentagem 2 11" xfId="790" xr:uid="{80607183-B983-4FD4-889C-C493D00F81DC}"/>
    <cellStyle name="Porcentagem 2 2" xfId="20" xr:uid="{0CCF31EB-1823-4409-9563-26FB9A6981AA}"/>
    <cellStyle name="Porcentagem 2 2 10" xfId="801" xr:uid="{5A312838-BCAA-44C0-A79D-55CEB118A092}"/>
    <cellStyle name="Porcentagem 2 2 2" xfId="42" xr:uid="{5B26A8F6-D636-4399-86B5-0847ABB60144}"/>
    <cellStyle name="Porcentagem 2 2 2 2" xfId="87" xr:uid="{8091BF21-94BF-418B-8C07-4E3235D19D2D}"/>
    <cellStyle name="Porcentagem 2 2 2 2 2" xfId="225" xr:uid="{E763DF2A-97AA-4F70-87ED-08233E17D15F}"/>
    <cellStyle name="Porcentagem 2 2 2 2 2 2" xfId="592" xr:uid="{3814B702-750A-47FF-B7B6-2C0F8594A775}"/>
    <cellStyle name="Porcentagem 2 2 2 2 2 2 2" xfId="1373" xr:uid="{E4D73491-BE18-47FB-AF63-C5CFD96A7552}"/>
    <cellStyle name="Porcentagem 2 2 2 2 2 3" xfId="1006" xr:uid="{A9BD1DB9-B19D-44E1-AB2C-DEAA68AC0BC9}"/>
    <cellStyle name="Porcentagem 2 2 2 2 3" xfId="454" xr:uid="{E90AE577-BC7C-4F0A-858F-20B5F2F21DD2}"/>
    <cellStyle name="Porcentagem 2 2 2 2 3 2" xfId="1235" xr:uid="{07CF7B0A-23AC-4A1E-B3C1-D7A882F54B33}"/>
    <cellStyle name="Porcentagem 2 2 2 2 4" xfId="868" xr:uid="{4E7182CB-753E-4A72-93A1-FDFEC4CA508B}"/>
    <cellStyle name="Porcentagem 2 2 2 3" xfId="133" xr:uid="{96DDC87F-C13D-4218-90D2-A145555FB790}"/>
    <cellStyle name="Porcentagem 2 2 2 3 2" xfId="270" xr:uid="{7B4AD9B4-DFF4-4DF3-AA00-BFBCF5B70A76}"/>
    <cellStyle name="Porcentagem 2 2 2 3 2 2" xfId="637" xr:uid="{A9BA4C24-DD6B-4F24-A254-8ACEF85E9E92}"/>
    <cellStyle name="Porcentagem 2 2 2 3 2 2 2" xfId="1418" xr:uid="{83AB28AB-FB1E-49FD-B622-577005D8C2A3}"/>
    <cellStyle name="Porcentagem 2 2 2 3 2 3" xfId="1051" xr:uid="{A5436B3D-AF82-41FB-9C64-D0A71AC28352}"/>
    <cellStyle name="Porcentagem 2 2 2 3 3" xfId="500" xr:uid="{DD19E98B-2581-4E92-9B16-A4EEB5800E4E}"/>
    <cellStyle name="Porcentagem 2 2 2 3 3 2" xfId="1281" xr:uid="{DF60D1AE-0D61-41B1-A060-9D1E3983B856}"/>
    <cellStyle name="Porcentagem 2 2 2 3 4" xfId="914" xr:uid="{A729AF55-C33E-4550-9C5D-2DF94F50EB35}"/>
    <cellStyle name="Porcentagem 2 2 2 4" xfId="179" xr:uid="{1AF5CA97-0B03-4FF5-A638-F0B6721D9D5E}"/>
    <cellStyle name="Porcentagem 2 2 2 4 2" xfId="546" xr:uid="{B4DEDBE8-5FBC-43C4-BB21-334978486CE5}"/>
    <cellStyle name="Porcentagem 2 2 2 4 2 2" xfId="1327" xr:uid="{E37BFCC6-6567-4BD8-9F64-8956D1B9E69D}"/>
    <cellStyle name="Porcentagem 2 2 2 4 3" xfId="960" xr:uid="{6AFB2CCE-92FB-4FF3-807D-E31DDFF3613B}"/>
    <cellStyle name="Porcentagem 2 2 2 5" xfId="316" xr:uid="{477CC720-CC96-4B09-A77B-B22437CC5B79}"/>
    <cellStyle name="Porcentagem 2 2 2 5 2" xfId="683" xr:uid="{1B0EC424-60CC-43A3-AA04-15B71EBED0D6}"/>
    <cellStyle name="Porcentagem 2 2 2 5 2 2" xfId="1464" xr:uid="{31CB03FF-7A6F-4804-B905-BC4B2C471B56}"/>
    <cellStyle name="Porcentagem 2 2 2 5 3" xfId="1097" xr:uid="{C345EEA1-9428-4CD7-8F97-4E8E3EEA35E5}"/>
    <cellStyle name="Porcentagem 2 2 2 6" xfId="362" xr:uid="{5B974526-421A-4941-AA1A-FBD3814FDE1F}"/>
    <cellStyle name="Porcentagem 2 2 2 6 2" xfId="729" xr:uid="{942B20EA-3601-4847-B39E-08D10CFFF64C}"/>
    <cellStyle name="Porcentagem 2 2 2 6 2 2" xfId="1510" xr:uid="{149BC264-010A-420B-A9A4-E2BB2D190B4B}"/>
    <cellStyle name="Porcentagem 2 2 2 6 3" xfId="1143" xr:uid="{8F04CF0D-2959-47E9-A912-EC85D8EE2F08}"/>
    <cellStyle name="Porcentagem 2 2 2 7" xfId="409" xr:uid="{15B674F4-4645-4CC6-8047-5C999D03DBB3}"/>
    <cellStyle name="Porcentagem 2 2 2 7 2" xfId="1190" xr:uid="{971F3054-27BC-41A7-A2FF-37AB2822825E}"/>
    <cellStyle name="Porcentagem 2 2 2 8" xfId="777" xr:uid="{7DC367BF-53EE-4BE9-BDB2-57B1D343CDB5}"/>
    <cellStyle name="Porcentagem 2 2 2 8 2" xfId="1558" xr:uid="{1B2D1140-FFCE-4860-BD70-F9904DC248F5}"/>
    <cellStyle name="Porcentagem 2 2 2 9" xfId="823" xr:uid="{ECBB2ED3-757B-4CF6-B366-ED8E0A3AE200}"/>
    <cellStyle name="Porcentagem 2 2 3" xfId="65" xr:uid="{2C1ADA9A-8021-4625-9DB9-AB38D56FA6B4}"/>
    <cellStyle name="Porcentagem 2 2 3 2" xfId="203" xr:uid="{8CABE014-C628-495E-9E4D-C7E35B32506A}"/>
    <cellStyle name="Porcentagem 2 2 3 2 2" xfId="570" xr:uid="{C550D7D4-605D-4733-AD50-3E262887303A}"/>
    <cellStyle name="Porcentagem 2 2 3 2 2 2" xfId="1351" xr:uid="{6AC8F8E8-71A7-4520-8188-85EA0541FECF}"/>
    <cellStyle name="Porcentagem 2 2 3 2 3" xfId="984" xr:uid="{E61B78B7-CE14-4D2E-B0B6-A087A88ACC40}"/>
    <cellStyle name="Porcentagem 2 2 3 3" xfId="432" xr:uid="{3B553F0E-4BEF-4CCA-AF34-F1617EC812F0}"/>
    <cellStyle name="Porcentagem 2 2 3 3 2" xfId="1213" xr:uid="{1276C339-03A2-45EF-A54B-BB61826603CB}"/>
    <cellStyle name="Porcentagem 2 2 3 4" xfId="846" xr:uid="{BF95EB3C-8CC1-4FF1-9535-0412943242A3}"/>
    <cellStyle name="Porcentagem 2 2 4" xfId="111" xr:uid="{D3E9EE6C-44EC-4BE4-9D1C-630AC5E16DB8}"/>
    <cellStyle name="Porcentagem 2 2 4 2" xfId="248" xr:uid="{E445529C-F6C1-44D8-935F-9938202A8CEA}"/>
    <cellStyle name="Porcentagem 2 2 4 2 2" xfId="615" xr:uid="{18BD81F0-C22B-4C24-9251-02F6D2C9740E}"/>
    <cellStyle name="Porcentagem 2 2 4 2 2 2" xfId="1396" xr:uid="{69B96236-98A2-4765-8FEF-5455AF5F827C}"/>
    <cellStyle name="Porcentagem 2 2 4 2 3" xfId="1029" xr:uid="{55CFEF6A-ABD1-4828-85AD-F7928DAF0B99}"/>
    <cellStyle name="Porcentagem 2 2 4 3" xfId="478" xr:uid="{883CFEC9-8CDA-4536-BC57-FF61571461B6}"/>
    <cellStyle name="Porcentagem 2 2 4 3 2" xfId="1259" xr:uid="{D585F94E-45C8-49E4-9559-7ECF610AE07D}"/>
    <cellStyle name="Porcentagem 2 2 4 4" xfId="892" xr:uid="{2DB9538F-329C-4160-B29F-4DB9B6BB73D5}"/>
    <cellStyle name="Porcentagem 2 2 5" xfId="157" xr:uid="{BF22C1CA-A028-430D-BA10-50569007C02C}"/>
    <cellStyle name="Porcentagem 2 2 5 2" xfId="524" xr:uid="{DDAF5395-43CA-41A4-AF5F-3274B9410C91}"/>
    <cellStyle name="Porcentagem 2 2 5 2 2" xfId="1305" xr:uid="{84ADC4DE-E5A3-459F-9150-9BF12214315A}"/>
    <cellStyle name="Porcentagem 2 2 5 3" xfId="938" xr:uid="{8997D26D-6391-4957-9223-B71F32232608}"/>
    <cellStyle name="Porcentagem 2 2 6" xfId="294" xr:uid="{97C41243-8437-4CFD-BA15-9978F9F5BEDF}"/>
    <cellStyle name="Porcentagem 2 2 6 2" xfId="661" xr:uid="{F4EB7136-6B69-43E8-A7D5-DFB2D44491FB}"/>
    <cellStyle name="Porcentagem 2 2 6 2 2" xfId="1442" xr:uid="{EF8E1271-2C10-4E15-8257-E7F06C78FB0F}"/>
    <cellStyle name="Porcentagem 2 2 6 3" xfId="1075" xr:uid="{7FF1A553-B73D-4B42-941C-9F79D5B9637D}"/>
    <cellStyle name="Porcentagem 2 2 7" xfId="340" xr:uid="{24440A2A-8CBF-4248-89AE-B93DEB41828E}"/>
    <cellStyle name="Porcentagem 2 2 7 2" xfId="707" xr:uid="{9328C8E1-9367-430B-AD9C-40F6969D986D}"/>
    <cellStyle name="Porcentagem 2 2 7 2 2" xfId="1488" xr:uid="{B19E9D24-B607-4697-A560-7919615336B1}"/>
    <cellStyle name="Porcentagem 2 2 7 3" xfId="1121" xr:uid="{06D53943-4FD4-4DB3-B8C7-8A92FC91FA7C}"/>
    <cellStyle name="Porcentagem 2 2 8" xfId="387" xr:uid="{AD96AD0F-3DA3-4378-9042-8BC57EFAE850}"/>
    <cellStyle name="Porcentagem 2 2 8 2" xfId="1168" xr:uid="{D7769034-3007-41B6-BC5C-F4A4A5D97878}"/>
    <cellStyle name="Porcentagem 2 2 9" xfId="755" xr:uid="{E79875E3-D07B-4330-8CF7-10153C5D18D7}"/>
    <cellStyle name="Porcentagem 2 2 9 2" xfId="1536" xr:uid="{F42EEC17-4E27-46D5-8ADF-665CF305D6C3}"/>
    <cellStyle name="Porcentagem 2 3" xfId="31" xr:uid="{6346A2E7-D221-47EC-9C76-43BF3751E7CF}"/>
    <cellStyle name="Porcentagem 2 3 2" xfId="76" xr:uid="{F2E62BCE-803D-4E22-9D2C-9705AC6CF931}"/>
    <cellStyle name="Porcentagem 2 3 2 2" xfId="214" xr:uid="{9BF43B9E-1466-4CF5-A1FE-D3E3C1E8974E}"/>
    <cellStyle name="Porcentagem 2 3 2 2 2" xfId="581" xr:uid="{5868BE46-9F0A-4DF6-A68A-DAE8228811ED}"/>
    <cellStyle name="Porcentagem 2 3 2 2 2 2" xfId="1362" xr:uid="{F7C6A47E-A9A6-4B1C-8DF3-CB6CE36F9F26}"/>
    <cellStyle name="Porcentagem 2 3 2 2 3" xfId="995" xr:uid="{BC3D7234-95CE-44CB-8D01-B633EFEB8781}"/>
    <cellStyle name="Porcentagem 2 3 2 3" xfId="443" xr:uid="{659BF7B5-0C09-4F36-95CE-E80AA84CE572}"/>
    <cellStyle name="Porcentagem 2 3 2 3 2" xfId="1224" xr:uid="{1847D2C0-B8ED-4574-BCEA-D6B42067A011}"/>
    <cellStyle name="Porcentagem 2 3 2 4" xfId="857" xr:uid="{011F2208-147C-4BFD-BCCF-D466261503AF}"/>
    <cellStyle name="Porcentagem 2 3 3" xfId="122" xr:uid="{B5F44C97-DD53-4A61-9558-3539EE8ECA96}"/>
    <cellStyle name="Porcentagem 2 3 3 2" xfId="259" xr:uid="{030170E8-CBA1-4FA7-BA45-325CDB5834AB}"/>
    <cellStyle name="Porcentagem 2 3 3 2 2" xfId="626" xr:uid="{5AB20322-83DB-4998-ADE0-950418477EE4}"/>
    <cellStyle name="Porcentagem 2 3 3 2 2 2" xfId="1407" xr:uid="{07ADD75A-D177-47ED-BF26-833D902E1261}"/>
    <cellStyle name="Porcentagem 2 3 3 2 3" xfId="1040" xr:uid="{48EFED19-9CE6-4140-814E-62C2E588A6F7}"/>
    <cellStyle name="Porcentagem 2 3 3 3" xfId="489" xr:uid="{6165664A-29CF-406C-B1B7-349D5F65F01E}"/>
    <cellStyle name="Porcentagem 2 3 3 3 2" xfId="1270" xr:uid="{B9E55733-E9D8-4973-9FE8-CF198CA3D252}"/>
    <cellStyle name="Porcentagem 2 3 3 4" xfId="903" xr:uid="{767DD0EA-CD9B-4CF2-BD54-9E7B9CE4C118}"/>
    <cellStyle name="Porcentagem 2 3 4" xfId="168" xr:uid="{840DF66B-0BB0-4726-A2D8-2FAEC56B7507}"/>
    <cellStyle name="Porcentagem 2 3 4 2" xfId="535" xr:uid="{A6C5AC33-EAD2-4BC3-BCA9-1A21739779C5}"/>
    <cellStyle name="Porcentagem 2 3 4 2 2" xfId="1316" xr:uid="{0553A7B1-306D-4C38-9426-777ADF006EC1}"/>
    <cellStyle name="Porcentagem 2 3 4 3" xfId="949" xr:uid="{85FD52EF-ED16-4295-B1B5-94AC79D88537}"/>
    <cellStyle name="Porcentagem 2 3 5" xfId="305" xr:uid="{127C6A89-FD86-486C-9B93-5316F6449AD7}"/>
    <cellStyle name="Porcentagem 2 3 5 2" xfId="672" xr:uid="{AB4FEF7C-EB89-42EF-B3EB-AD9715ED4FD6}"/>
    <cellStyle name="Porcentagem 2 3 5 2 2" xfId="1453" xr:uid="{75343BA2-AAF9-4233-87BD-DE5577136B90}"/>
    <cellStyle name="Porcentagem 2 3 5 3" xfId="1086" xr:uid="{4721C3D9-4EB1-4144-A35B-A4FD778622ED}"/>
    <cellStyle name="Porcentagem 2 3 6" xfId="351" xr:uid="{888FA299-02E0-4917-9780-6193FABBF260}"/>
    <cellStyle name="Porcentagem 2 3 6 2" xfId="718" xr:uid="{495708E9-8D50-4756-8356-167AA8AC53FD}"/>
    <cellStyle name="Porcentagem 2 3 6 2 2" xfId="1499" xr:uid="{7EF88AB3-B4E2-49DB-9D56-9513475FD2EA}"/>
    <cellStyle name="Porcentagem 2 3 6 3" xfId="1132" xr:uid="{42E4F485-5F0A-4755-841D-D03FB29654B5}"/>
    <cellStyle name="Porcentagem 2 3 7" xfId="398" xr:uid="{5A4F7ACB-88B3-4AF6-BF75-80D3914915A1}"/>
    <cellStyle name="Porcentagem 2 3 7 2" xfId="1179" xr:uid="{B885729B-880B-4AF7-B3C8-E7CC7574060E}"/>
    <cellStyle name="Porcentagem 2 3 8" xfId="766" xr:uid="{AD9A2958-03A4-48D3-9204-143CB4324773}"/>
    <cellStyle name="Porcentagem 2 3 8 2" xfId="1547" xr:uid="{630B2AED-9313-430C-9B67-3CDEA5EE36A9}"/>
    <cellStyle name="Porcentagem 2 3 9" xfId="812" xr:uid="{AA61B210-CF70-4FA5-B99C-30C52B807B51}"/>
    <cellStyle name="Porcentagem 2 4" xfId="54" xr:uid="{1CA54D0B-BA22-471E-97F9-33B2C1405353}"/>
    <cellStyle name="Porcentagem 2 4 2" xfId="192" xr:uid="{32D97698-65C4-4F1B-A947-42483835A811}"/>
    <cellStyle name="Porcentagem 2 4 2 2" xfId="559" xr:uid="{45353671-2F7C-4CB5-A548-6F0651B2FD41}"/>
    <cellStyle name="Porcentagem 2 4 2 2 2" xfId="1340" xr:uid="{C1E4FD94-079E-486D-864D-A4CB5923E516}"/>
    <cellStyle name="Porcentagem 2 4 2 3" xfId="973" xr:uid="{FA2A7F67-4C46-413E-AA08-A05541004CC2}"/>
    <cellStyle name="Porcentagem 2 4 3" xfId="421" xr:uid="{C3723F7B-E2A5-4CCD-8491-6C99EE72D7B1}"/>
    <cellStyle name="Porcentagem 2 4 3 2" xfId="1202" xr:uid="{77203632-3C5E-4BB2-B7E1-8B353038FE17}"/>
    <cellStyle name="Porcentagem 2 4 4" xfId="835" xr:uid="{89514F5C-937B-47C2-B484-5A58C8A03545}"/>
    <cellStyle name="Porcentagem 2 5" xfId="100" xr:uid="{0745A95A-2905-490B-A314-DDCD387EB45B}"/>
    <cellStyle name="Porcentagem 2 5 2" xfId="237" xr:uid="{30B58CB3-B53B-45E0-905E-A2D4BC3B6E84}"/>
    <cellStyle name="Porcentagem 2 5 2 2" xfId="604" xr:uid="{34233CDA-52A0-4CC4-859C-7C026594C38D}"/>
    <cellStyle name="Porcentagem 2 5 2 2 2" xfId="1385" xr:uid="{677D6040-4480-4940-8816-7BBCAF863105}"/>
    <cellStyle name="Porcentagem 2 5 2 3" xfId="1018" xr:uid="{28B44063-68F1-4024-9C01-70AEA9129ACA}"/>
    <cellStyle name="Porcentagem 2 5 3" xfId="467" xr:uid="{2E365576-52CB-412A-8EAC-36976E2C6869}"/>
    <cellStyle name="Porcentagem 2 5 3 2" xfId="1248" xr:uid="{367BE758-D809-41B7-B7C2-7C5B266D62B5}"/>
    <cellStyle name="Porcentagem 2 5 4" xfId="881" xr:uid="{01F8A331-91CF-49CC-9B78-9A2F0B3889C2}"/>
    <cellStyle name="Porcentagem 2 6" xfId="146" xr:uid="{6D43143B-4F27-4307-97BF-34FF8CDAEE2C}"/>
    <cellStyle name="Porcentagem 2 6 2" xfId="513" xr:uid="{7423A499-FABC-47A0-B001-AEAE30BB52FF}"/>
    <cellStyle name="Porcentagem 2 6 2 2" xfId="1294" xr:uid="{9AEDF854-EF2F-41EE-88FC-01B4D0C4A1D8}"/>
    <cellStyle name="Porcentagem 2 6 3" xfId="927" xr:uid="{AAA4858F-4BC7-46F2-A9A7-D2B5C784FEEC}"/>
    <cellStyle name="Porcentagem 2 7" xfId="283" xr:uid="{97A98665-C4C2-4B61-A36E-A6A7EA2D76EF}"/>
    <cellStyle name="Porcentagem 2 7 2" xfId="650" xr:uid="{31756768-7F4C-4782-B559-D69E84415C79}"/>
    <cellStyle name="Porcentagem 2 7 2 2" xfId="1431" xr:uid="{476AE035-C63B-463C-9690-CAB0E5075A5D}"/>
    <cellStyle name="Porcentagem 2 7 3" xfId="1064" xr:uid="{7AA785EB-E0E0-416B-A387-A7A86A46980A}"/>
    <cellStyle name="Porcentagem 2 8" xfId="329" xr:uid="{CD4D4FAA-5C48-4DC9-8200-ADC386590D03}"/>
    <cellStyle name="Porcentagem 2 8 2" xfId="696" xr:uid="{5770C786-2DE9-4C05-B8B6-07225229B465}"/>
    <cellStyle name="Porcentagem 2 8 2 2" xfId="1477" xr:uid="{0C8ED786-980C-4AA7-B928-FCF1706BE1B7}"/>
    <cellStyle name="Porcentagem 2 8 3" xfId="1110" xr:uid="{1DF3E805-C289-43F0-9781-CC50AACD506F}"/>
    <cellStyle name="Porcentagem 2 9" xfId="376" xr:uid="{DA0FCB53-A5AB-4DF5-AE6D-B7C0A0D28410}"/>
    <cellStyle name="Porcentagem 2 9 2" xfId="1157" xr:uid="{82AE43E3-1346-468E-A799-C14565B95DBA}"/>
    <cellStyle name="Porcentagem 3" xfId="13" xr:uid="{00000000-0005-0000-0000-00000B000000}"/>
    <cellStyle name="Porcentagem 3 10" xfId="748" xr:uid="{F2FF36F9-8369-4561-81F5-F4C75E1232E8}"/>
    <cellStyle name="Porcentagem 3 10 2" xfId="1529" xr:uid="{4AE8B0C0-886C-4FE8-8104-6BA92BD8EC65}"/>
    <cellStyle name="Porcentagem 3 11" xfId="794" xr:uid="{DA688D04-C311-4669-A6B1-38DAF06D7F85}"/>
    <cellStyle name="Porcentagem 3 2" xfId="24" xr:uid="{82F909A7-2541-4082-86BE-BA712A150302}"/>
    <cellStyle name="Porcentagem 3 2 10" xfId="805" xr:uid="{F870AABE-7B3E-4FFA-8DFE-44D120C38AA9}"/>
    <cellStyle name="Porcentagem 3 2 2" xfId="46" xr:uid="{AA86FFEE-A25B-4B9C-98E7-F154C3712AFA}"/>
    <cellStyle name="Porcentagem 3 2 2 2" xfId="91" xr:uid="{BEA2C978-5FC0-485E-BE4B-1830F5760279}"/>
    <cellStyle name="Porcentagem 3 2 2 2 2" xfId="229" xr:uid="{E6AD1971-1DD4-40B4-85C3-B50CE8DDF267}"/>
    <cellStyle name="Porcentagem 3 2 2 2 2 2" xfId="596" xr:uid="{6884D4B4-A641-4868-843E-01CF35AA1091}"/>
    <cellStyle name="Porcentagem 3 2 2 2 2 2 2" xfId="1377" xr:uid="{8BD97715-867B-4593-85A3-682E9452C5C2}"/>
    <cellStyle name="Porcentagem 3 2 2 2 2 3" xfId="1010" xr:uid="{92C5B05C-C534-4B88-B7DE-61DAA576D558}"/>
    <cellStyle name="Porcentagem 3 2 2 2 3" xfId="458" xr:uid="{5ED91613-9A1E-418A-B44B-311A63EE6B4F}"/>
    <cellStyle name="Porcentagem 3 2 2 2 3 2" xfId="1239" xr:uid="{89ED68D0-2C35-46EC-981A-852E3ABD2074}"/>
    <cellStyle name="Porcentagem 3 2 2 2 4" xfId="872" xr:uid="{0A22FF30-1DEE-4227-BBD2-E4C7B430D207}"/>
    <cellStyle name="Porcentagem 3 2 2 3" xfId="137" xr:uid="{A0051D72-52A4-4FDE-9C57-961055FB6AE9}"/>
    <cellStyle name="Porcentagem 3 2 2 3 2" xfId="274" xr:uid="{B77AFC64-502D-4AF3-BFF8-86DE60A4EB2F}"/>
    <cellStyle name="Porcentagem 3 2 2 3 2 2" xfId="641" xr:uid="{29929EA8-B13A-4ECC-B34D-B73F4DBFDC71}"/>
    <cellStyle name="Porcentagem 3 2 2 3 2 2 2" xfId="1422" xr:uid="{537E6CB8-0851-48BB-AE43-7FA21D290213}"/>
    <cellStyle name="Porcentagem 3 2 2 3 2 3" xfId="1055" xr:uid="{39C5C004-2FAB-4B21-A04D-49F93869DAA7}"/>
    <cellStyle name="Porcentagem 3 2 2 3 3" xfId="504" xr:uid="{6249F275-8919-4440-A3AB-251958AF2C2B}"/>
    <cellStyle name="Porcentagem 3 2 2 3 3 2" xfId="1285" xr:uid="{B3CBBE06-8DE8-48D2-9EEC-86C93B7783A7}"/>
    <cellStyle name="Porcentagem 3 2 2 3 4" xfId="918" xr:uid="{57B0B8AE-346F-424A-AE81-BE19B00B5931}"/>
    <cellStyle name="Porcentagem 3 2 2 4" xfId="183" xr:uid="{10919449-CA05-4DBA-B0FA-54842693CC5F}"/>
    <cellStyle name="Porcentagem 3 2 2 4 2" xfId="550" xr:uid="{51139D89-E182-49CA-B6F9-8ABE103D4350}"/>
    <cellStyle name="Porcentagem 3 2 2 4 2 2" xfId="1331" xr:uid="{C5E84F50-EA8D-4335-8493-BD9F17A4C2BC}"/>
    <cellStyle name="Porcentagem 3 2 2 4 3" xfId="964" xr:uid="{11848203-566D-4E52-A059-2A21FE05D3E2}"/>
    <cellStyle name="Porcentagem 3 2 2 5" xfId="320" xr:uid="{17B2AC2C-5678-4598-A59C-A24B4E1F6765}"/>
    <cellStyle name="Porcentagem 3 2 2 5 2" xfId="687" xr:uid="{01BDD628-1642-496A-B3A6-72E7E854E854}"/>
    <cellStyle name="Porcentagem 3 2 2 5 2 2" xfId="1468" xr:uid="{C0B3864A-C534-4BA4-B24B-733318D86B54}"/>
    <cellStyle name="Porcentagem 3 2 2 5 3" xfId="1101" xr:uid="{9F0DCD10-A706-46F4-8364-B5C89BF38EBE}"/>
    <cellStyle name="Porcentagem 3 2 2 6" xfId="366" xr:uid="{13D61173-3E6A-4A66-9356-5124A48644E7}"/>
    <cellStyle name="Porcentagem 3 2 2 6 2" xfId="733" xr:uid="{A43546AB-1554-4E0A-9D00-1A52AD1F6729}"/>
    <cellStyle name="Porcentagem 3 2 2 6 2 2" xfId="1514" xr:uid="{0557C1CC-FB3F-4AC3-86AB-1331695F05E8}"/>
    <cellStyle name="Porcentagem 3 2 2 6 3" xfId="1147" xr:uid="{79256084-B880-4A9C-9883-523A88B5188A}"/>
    <cellStyle name="Porcentagem 3 2 2 7" xfId="413" xr:uid="{802BE3B5-51BE-4588-84B1-3D2482B117A4}"/>
    <cellStyle name="Porcentagem 3 2 2 7 2" xfId="1194" xr:uid="{12F5C587-8FE2-4DFF-A402-AAC45B25865B}"/>
    <cellStyle name="Porcentagem 3 2 2 8" xfId="781" xr:uid="{6DBD1EF5-3824-4B2A-B199-4AAA71B65FE8}"/>
    <cellStyle name="Porcentagem 3 2 2 8 2" xfId="1562" xr:uid="{4DDAFF35-4E46-4853-A7F3-33A249827604}"/>
    <cellStyle name="Porcentagem 3 2 2 9" xfId="827" xr:uid="{913AC83B-5A78-4480-8762-A8E2592AC285}"/>
    <cellStyle name="Porcentagem 3 2 3" xfId="69" xr:uid="{1DEC7221-AEE3-4467-B42D-9A385FC7CD07}"/>
    <cellStyle name="Porcentagem 3 2 3 2" xfId="207" xr:uid="{4430737B-49F1-4DC0-B77A-D918716AB578}"/>
    <cellStyle name="Porcentagem 3 2 3 2 2" xfId="574" xr:uid="{288CAE65-6169-433E-8E0B-272B1458544B}"/>
    <cellStyle name="Porcentagem 3 2 3 2 2 2" xfId="1355" xr:uid="{BD0FD207-D559-4FC1-8752-04138A781010}"/>
    <cellStyle name="Porcentagem 3 2 3 2 3" xfId="988" xr:uid="{E769A0B0-F3F0-4AC7-A795-CBC9E79626F3}"/>
    <cellStyle name="Porcentagem 3 2 3 3" xfId="436" xr:uid="{89995EAD-B1E9-44F2-9371-934B0BE79A76}"/>
    <cellStyle name="Porcentagem 3 2 3 3 2" xfId="1217" xr:uid="{BA0244F4-8999-407A-97DC-8F0E3D0AC958}"/>
    <cellStyle name="Porcentagem 3 2 3 4" xfId="850" xr:uid="{38E30DDD-CCDF-46F3-83F4-15C86B190A28}"/>
    <cellStyle name="Porcentagem 3 2 4" xfId="115" xr:uid="{18D69B0B-AB28-4085-A343-F22D8824BBE1}"/>
    <cellStyle name="Porcentagem 3 2 4 2" xfId="252" xr:uid="{C3325301-6F04-4D26-BBF7-33F0D8D9F411}"/>
    <cellStyle name="Porcentagem 3 2 4 2 2" xfId="619" xr:uid="{C7288368-1BDF-4B54-BAF0-8337AA4821C5}"/>
    <cellStyle name="Porcentagem 3 2 4 2 2 2" xfId="1400" xr:uid="{54A9DF43-4979-4F67-819E-7ECA3FE90623}"/>
    <cellStyle name="Porcentagem 3 2 4 2 3" xfId="1033" xr:uid="{1249823C-23DD-4740-96C5-803EFB0647DB}"/>
    <cellStyle name="Porcentagem 3 2 4 3" xfId="482" xr:uid="{8C847102-1E20-4998-99C6-CF6BEC8FF704}"/>
    <cellStyle name="Porcentagem 3 2 4 3 2" xfId="1263" xr:uid="{588DBDBA-CF21-4DCE-A69C-BE1684DFCA40}"/>
    <cellStyle name="Porcentagem 3 2 4 4" xfId="896" xr:uid="{94A163C1-A603-4050-B916-8DA773204C49}"/>
    <cellStyle name="Porcentagem 3 2 5" xfId="161" xr:uid="{C1B8C370-2709-411E-8546-1F072A7B6080}"/>
    <cellStyle name="Porcentagem 3 2 5 2" xfId="528" xr:uid="{EB151041-D5C8-4827-AA56-9EEACE2C713F}"/>
    <cellStyle name="Porcentagem 3 2 5 2 2" xfId="1309" xr:uid="{5121A007-2067-48C1-8455-335A66741742}"/>
    <cellStyle name="Porcentagem 3 2 5 3" xfId="942" xr:uid="{AC3733E0-DF4D-4CF1-8000-5878DEA4F91B}"/>
    <cellStyle name="Porcentagem 3 2 6" xfId="298" xr:uid="{D64C9607-5E74-44F3-AC4A-1FA4C4C774D0}"/>
    <cellStyle name="Porcentagem 3 2 6 2" xfId="665" xr:uid="{531AFC88-7094-41B8-9F74-942F73635B1C}"/>
    <cellStyle name="Porcentagem 3 2 6 2 2" xfId="1446" xr:uid="{C55BDE0E-DADA-41AC-943C-7D1990DDB95A}"/>
    <cellStyle name="Porcentagem 3 2 6 3" xfId="1079" xr:uid="{6465F24A-9AFB-421F-91B5-09C5118CF4C6}"/>
    <cellStyle name="Porcentagem 3 2 7" xfId="344" xr:uid="{B342AC8F-3BD3-4A93-91AB-1C7D5CFC8A5F}"/>
    <cellStyle name="Porcentagem 3 2 7 2" xfId="711" xr:uid="{A56B08D6-9215-4D61-86FE-86CAB6BDA92C}"/>
    <cellStyle name="Porcentagem 3 2 7 2 2" xfId="1492" xr:uid="{9923246C-0172-467F-9C35-4285C274E065}"/>
    <cellStyle name="Porcentagem 3 2 7 3" xfId="1125" xr:uid="{4FCB7E96-B9FD-4F43-B91C-36CE3BB0FACA}"/>
    <cellStyle name="Porcentagem 3 2 8" xfId="391" xr:uid="{07CDE7B0-4F97-40C7-8418-13FA3E97E4EE}"/>
    <cellStyle name="Porcentagem 3 2 8 2" xfId="1172" xr:uid="{08838693-E101-44CC-B90E-A82DDFE929A5}"/>
    <cellStyle name="Porcentagem 3 2 9" xfId="759" xr:uid="{AE4C3CE4-D1EE-44AD-9D04-5CCA400CCA4C}"/>
    <cellStyle name="Porcentagem 3 2 9 2" xfId="1540" xr:uid="{3D3B2875-FFA4-462E-ABF8-CF457DC9BCBB}"/>
    <cellStyle name="Porcentagem 3 3" xfId="35" xr:uid="{7B7B3206-7280-49C7-ACA0-9D9EF266AD59}"/>
    <cellStyle name="Porcentagem 3 3 2" xfId="80" xr:uid="{EAB81ACA-F2DE-468B-BED3-8C88613429AE}"/>
    <cellStyle name="Porcentagem 3 3 2 2" xfId="218" xr:uid="{1055537A-D2D8-41CC-AB19-496C2594C554}"/>
    <cellStyle name="Porcentagem 3 3 2 2 2" xfId="585" xr:uid="{9A8AF649-F5C3-4EBA-82B1-BC8F082D5D16}"/>
    <cellStyle name="Porcentagem 3 3 2 2 2 2" xfId="1366" xr:uid="{AAE01F3A-ACDF-46CE-944C-3EA909FDF8BD}"/>
    <cellStyle name="Porcentagem 3 3 2 2 3" xfId="999" xr:uid="{87AD4D80-BAFA-45FF-8607-A3E2AF1D6A72}"/>
    <cellStyle name="Porcentagem 3 3 2 3" xfId="447" xr:uid="{FF8C8A1F-57B8-4DF9-8631-E7938D779356}"/>
    <cellStyle name="Porcentagem 3 3 2 3 2" xfId="1228" xr:uid="{74CE9E83-E118-486B-ADB9-DCF541111DDC}"/>
    <cellStyle name="Porcentagem 3 3 2 4" xfId="861" xr:uid="{181691E3-4942-4E95-81B9-87D479AEF2AC}"/>
    <cellStyle name="Porcentagem 3 3 3" xfId="126" xr:uid="{409B8B03-E0BD-4A2B-A3D1-DA26EB8EA3AC}"/>
    <cellStyle name="Porcentagem 3 3 3 2" xfId="263" xr:uid="{7D8414DA-A342-4282-A85B-A255F1682446}"/>
    <cellStyle name="Porcentagem 3 3 3 2 2" xfId="630" xr:uid="{CBA2130B-DB0F-4BA7-9646-AAC7C25EEED3}"/>
    <cellStyle name="Porcentagem 3 3 3 2 2 2" xfId="1411" xr:uid="{3B93D472-1AD0-44C0-BF11-5038CAED8F55}"/>
    <cellStyle name="Porcentagem 3 3 3 2 3" xfId="1044" xr:uid="{BE3182FC-418D-47DA-AFB6-C40150D04D84}"/>
    <cellStyle name="Porcentagem 3 3 3 3" xfId="493" xr:uid="{1F99AD42-11E5-47FF-96D6-C5164C781C16}"/>
    <cellStyle name="Porcentagem 3 3 3 3 2" xfId="1274" xr:uid="{40EAEA38-CB04-4538-AA44-C3AE05E1DD6F}"/>
    <cellStyle name="Porcentagem 3 3 3 4" xfId="907" xr:uid="{6410BF43-CB95-435E-B489-C42F43D1618F}"/>
    <cellStyle name="Porcentagem 3 3 4" xfId="172" xr:uid="{A7A71F56-7ED4-4682-BB1A-075FA14596FF}"/>
    <cellStyle name="Porcentagem 3 3 4 2" xfId="539" xr:uid="{8DE8ABE6-5FFA-4804-BCC4-0A326F8578F7}"/>
    <cellStyle name="Porcentagem 3 3 4 2 2" xfId="1320" xr:uid="{A5246015-9099-4C06-B767-BBD94AFED990}"/>
    <cellStyle name="Porcentagem 3 3 4 3" xfId="953" xr:uid="{7EB845AA-F5F6-4142-B095-6DA4468331DA}"/>
    <cellStyle name="Porcentagem 3 3 5" xfId="309" xr:uid="{8CC4FC72-62E2-4D51-9D3D-B3DBEDF6106F}"/>
    <cellStyle name="Porcentagem 3 3 5 2" xfId="676" xr:uid="{4B7E3C0A-D489-47D7-9E3A-DE698676BCA7}"/>
    <cellStyle name="Porcentagem 3 3 5 2 2" xfId="1457" xr:uid="{AD186820-BDD0-47B2-8547-D0788EF3FB1C}"/>
    <cellStyle name="Porcentagem 3 3 5 3" xfId="1090" xr:uid="{EC77A2BD-C51D-4565-BAB3-E14D3CB736E3}"/>
    <cellStyle name="Porcentagem 3 3 6" xfId="355" xr:uid="{4645674C-32B1-4733-AFAF-8B1A83BB18E6}"/>
    <cellStyle name="Porcentagem 3 3 6 2" xfId="722" xr:uid="{7175AEE6-0C91-47CC-B930-745690B8F9E0}"/>
    <cellStyle name="Porcentagem 3 3 6 2 2" xfId="1503" xr:uid="{7F985458-C606-48A6-93C1-5038010F1CB1}"/>
    <cellStyle name="Porcentagem 3 3 6 3" xfId="1136" xr:uid="{3B23A96E-7D32-4C1F-8A89-4CE96C561B9F}"/>
    <cellStyle name="Porcentagem 3 3 7" xfId="402" xr:uid="{2991F3F2-6590-4981-B3BC-65D0E9308842}"/>
    <cellStyle name="Porcentagem 3 3 7 2" xfId="1183" xr:uid="{AA960A61-0C19-41B2-A8B8-BE3CF75A63E9}"/>
    <cellStyle name="Porcentagem 3 3 8" xfId="770" xr:uid="{D4FC8A14-D0D8-4766-9BB3-A1A3724914D5}"/>
    <cellStyle name="Porcentagem 3 3 8 2" xfId="1551" xr:uid="{2757E6FC-798A-46B7-9E89-7D9C4B86957B}"/>
    <cellStyle name="Porcentagem 3 3 9" xfId="816" xr:uid="{2A4B222B-A584-4E45-BAB2-DB764565875A}"/>
    <cellStyle name="Porcentagem 3 4" xfId="58" xr:uid="{7F4DC334-31BC-4EDB-BB3C-45B4E29C6622}"/>
    <cellStyle name="Porcentagem 3 4 2" xfId="196" xr:uid="{4B51A91F-6106-4ED9-8B01-CC80D5A0A499}"/>
    <cellStyle name="Porcentagem 3 4 2 2" xfId="563" xr:uid="{54797A68-0C8E-4D12-8B31-5C92A541DD51}"/>
    <cellStyle name="Porcentagem 3 4 2 2 2" xfId="1344" xr:uid="{BDB72F07-080D-4D21-952C-D0D4B2E40C25}"/>
    <cellStyle name="Porcentagem 3 4 2 3" xfId="977" xr:uid="{E16ED2EA-7DE1-463B-BECA-5D89C9ED951D}"/>
    <cellStyle name="Porcentagem 3 4 3" xfId="425" xr:uid="{4E9A3293-55C8-4CB6-ACCE-B44A98DFF34F}"/>
    <cellStyle name="Porcentagem 3 4 3 2" xfId="1206" xr:uid="{512A7495-B1BF-4C1B-AE39-C7BC40162BCA}"/>
    <cellStyle name="Porcentagem 3 4 4" xfId="839" xr:uid="{9AB3D64F-4B7E-4E6F-A350-716B7705CDE1}"/>
    <cellStyle name="Porcentagem 3 5" xfId="104" xr:uid="{34073D70-22C9-421C-9FBC-697C8EE3ED5A}"/>
    <cellStyle name="Porcentagem 3 5 2" xfId="241" xr:uid="{93B099B1-105B-493B-974E-66BAD41CF629}"/>
    <cellStyle name="Porcentagem 3 5 2 2" xfId="608" xr:uid="{FE57627E-C990-421A-8E92-B05592A19D30}"/>
    <cellStyle name="Porcentagem 3 5 2 2 2" xfId="1389" xr:uid="{454F794E-93A6-48BD-B886-0F59502E00E5}"/>
    <cellStyle name="Porcentagem 3 5 2 3" xfId="1022" xr:uid="{FA04C583-CCE1-4090-A300-147261BDBE40}"/>
    <cellStyle name="Porcentagem 3 5 3" xfId="471" xr:uid="{F62A6E0A-76A8-4A03-B6CC-1D2DBC34C518}"/>
    <cellStyle name="Porcentagem 3 5 3 2" xfId="1252" xr:uid="{77C2210F-1A89-44A5-ADFB-E01F7F37CAD7}"/>
    <cellStyle name="Porcentagem 3 5 4" xfId="885" xr:uid="{D150F873-8FEF-4047-8E72-1AC105DCB333}"/>
    <cellStyle name="Porcentagem 3 6" xfId="150" xr:uid="{E0F4B9FB-2D07-4507-8A15-C2383CD6C003}"/>
    <cellStyle name="Porcentagem 3 6 2" xfId="517" xr:uid="{48463912-AE95-484D-96C6-A6A435A55271}"/>
    <cellStyle name="Porcentagem 3 6 2 2" xfId="1298" xr:uid="{49337387-31A5-451B-9CFF-E08E267ECE59}"/>
    <cellStyle name="Porcentagem 3 6 3" xfId="931" xr:uid="{84745DD0-38CD-45D1-98CB-46E2E9D388CB}"/>
    <cellStyle name="Porcentagem 3 7" xfId="287" xr:uid="{07308099-EB80-4448-AB6F-6275B02B07DD}"/>
    <cellStyle name="Porcentagem 3 7 2" xfId="654" xr:uid="{680AB059-A9CC-48BE-91EA-132D316F5123}"/>
    <cellStyle name="Porcentagem 3 7 2 2" xfId="1435" xr:uid="{4305FFB3-D6C7-41D1-BC8E-7DD28AD2C743}"/>
    <cellStyle name="Porcentagem 3 7 3" xfId="1068" xr:uid="{3854FBE4-C55C-4CD9-9EB9-3DC57B14C1A5}"/>
    <cellStyle name="Porcentagem 3 8" xfId="333" xr:uid="{FBBCAD3D-2B0B-4D5F-A004-7C8CED53A9B2}"/>
    <cellStyle name="Porcentagem 3 8 2" xfId="700" xr:uid="{9C3EDD42-57C2-4964-8077-281EDC29AD8E}"/>
    <cellStyle name="Porcentagem 3 8 2 2" xfId="1481" xr:uid="{D03543B7-4CB2-47CB-8A94-80861675DA2A}"/>
    <cellStyle name="Porcentagem 3 8 3" xfId="1114" xr:uid="{9DABD920-BE24-4C3A-B3F9-661DA8E096BA}"/>
    <cellStyle name="Porcentagem 3 9" xfId="380" xr:uid="{32BEB189-7549-4ADB-9801-442812B181C9}"/>
    <cellStyle name="Porcentagem 3 9 2" xfId="1161" xr:uid="{87C4DE6F-C51A-4740-BCD5-6B63517AD032}"/>
    <cellStyle name="Separador de milhares 2" xfId="6" xr:uid="{00000000-0005-0000-0000-00000C000000}"/>
    <cellStyle name="Separador de milhares 2 10" xfId="742" xr:uid="{F94AABBF-0705-49DA-BCF5-641DB11AEE98}"/>
    <cellStyle name="Separador de milhares 2 10 2" xfId="1523" xr:uid="{A5CB91A2-19BE-4ED0-950B-6C8608E97997}"/>
    <cellStyle name="Separador de milhares 2 11" xfId="788" xr:uid="{F80FE995-E272-48A6-8F5D-B4DA27BECC4C}"/>
    <cellStyle name="Separador de milhares 2 2" xfId="18" xr:uid="{C8740868-1FF0-42AF-A3CE-02B166F34F9A}"/>
    <cellStyle name="Separador de milhares 2 2 10" xfId="799" xr:uid="{81A6D06A-D7DB-4293-907B-14FF51E76EFA}"/>
    <cellStyle name="Separador de milhares 2 2 2" xfId="40" xr:uid="{9F3A102C-6BC6-49E5-ACA3-907E1021FC32}"/>
    <cellStyle name="Separador de milhares 2 2 2 2" xfId="85" xr:uid="{B3C4925A-DD2B-4949-BDF5-FA75EE57316E}"/>
    <cellStyle name="Separador de milhares 2 2 2 2 2" xfId="223" xr:uid="{82125513-F422-4724-81EB-E9B3948B12EB}"/>
    <cellStyle name="Separador de milhares 2 2 2 2 2 2" xfId="590" xr:uid="{760BBFCA-9A1C-483B-8486-BEEB656A21C2}"/>
    <cellStyle name="Separador de milhares 2 2 2 2 2 2 2" xfId="1371" xr:uid="{F6EC7799-2CB3-40B6-B814-D90B3B7AEE6B}"/>
    <cellStyle name="Separador de milhares 2 2 2 2 2 3" xfId="1004" xr:uid="{BCE963DF-75DC-4C91-BBCE-78CB2A977120}"/>
    <cellStyle name="Separador de milhares 2 2 2 2 3" xfId="452" xr:uid="{BDAE5364-6D65-446A-9D8F-A84153D41298}"/>
    <cellStyle name="Separador de milhares 2 2 2 2 3 2" xfId="1233" xr:uid="{44D959D5-EBB1-4651-B67B-7C5BBE9F1F72}"/>
    <cellStyle name="Separador de milhares 2 2 2 2 4" xfId="866" xr:uid="{8EDB5D97-27FE-4021-9A10-A57E8443CE29}"/>
    <cellStyle name="Separador de milhares 2 2 2 3" xfId="131" xr:uid="{31C23D53-B5DA-434C-89D8-BCC66056557A}"/>
    <cellStyle name="Separador de milhares 2 2 2 3 2" xfId="268" xr:uid="{60D0598F-F697-4ABA-BE66-185C9D369E85}"/>
    <cellStyle name="Separador de milhares 2 2 2 3 2 2" xfId="635" xr:uid="{C4001F25-C263-42F7-A85F-BF47D63073C7}"/>
    <cellStyle name="Separador de milhares 2 2 2 3 2 2 2" xfId="1416" xr:uid="{9C5A17B4-6DFC-47FB-A211-0BD8E554A4F4}"/>
    <cellStyle name="Separador de milhares 2 2 2 3 2 3" xfId="1049" xr:uid="{C6FF0E7F-7952-43AD-BA1A-76C09302AFDB}"/>
    <cellStyle name="Separador de milhares 2 2 2 3 3" xfId="498" xr:uid="{C9ACFB2A-D594-4A17-A314-6670A0DC26ED}"/>
    <cellStyle name="Separador de milhares 2 2 2 3 3 2" xfId="1279" xr:uid="{802FC36D-31CF-43EA-95BA-3258A5EDE726}"/>
    <cellStyle name="Separador de milhares 2 2 2 3 4" xfId="912" xr:uid="{C793FDAB-1072-49F5-A8DB-EAA3D0BB0ED2}"/>
    <cellStyle name="Separador de milhares 2 2 2 4" xfId="177" xr:uid="{24E9B89D-13D4-4D1C-95C9-A2B6C4B8706A}"/>
    <cellStyle name="Separador de milhares 2 2 2 4 2" xfId="544" xr:uid="{C275034F-CCE8-477B-BCF4-1B2B44BAD605}"/>
    <cellStyle name="Separador de milhares 2 2 2 4 2 2" xfId="1325" xr:uid="{2E9AB0E1-575B-49E9-A322-2D28C2D7CDC7}"/>
    <cellStyle name="Separador de milhares 2 2 2 4 3" xfId="958" xr:uid="{074E3F8A-DDBA-4EBB-9BDB-4C0A20836E3C}"/>
    <cellStyle name="Separador de milhares 2 2 2 5" xfId="314" xr:uid="{25CC4AA9-B37B-46DC-860F-56B7C83B404B}"/>
    <cellStyle name="Separador de milhares 2 2 2 5 2" xfId="681" xr:uid="{9ED2F8BC-F29C-4E4E-996B-2E465D1FCC92}"/>
    <cellStyle name="Separador de milhares 2 2 2 5 2 2" xfId="1462" xr:uid="{3819A17E-1D1A-4DDC-900D-D6ABE9332700}"/>
    <cellStyle name="Separador de milhares 2 2 2 5 3" xfId="1095" xr:uid="{9F15A670-987E-458D-9C6F-C2DE7D17E6BC}"/>
    <cellStyle name="Separador de milhares 2 2 2 6" xfId="360" xr:uid="{1D9819CD-933A-4441-8692-410A662E03C2}"/>
    <cellStyle name="Separador de milhares 2 2 2 6 2" xfId="727" xr:uid="{85E8D9E1-456B-4D6A-9B1B-065AE407A11D}"/>
    <cellStyle name="Separador de milhares 2 2 2 6 2 2" xfId="1508" xr:uid="{FFED2161-DD33-4B71-982D-04032F8317DD}"/>
    <cellStyle name="Separador de milhares 2 2 2 6 3" xfId="1141" xr:uid="{D23B5AED-CEE8-4347-A244-B7E3F6497781}"/>
    <cellStyle name="Separador de milhares 2 2 2 7" xfId="407" xr:uid="{C84F9B8A-FC75-490A-9AC8-D28970AAEE3C}"/>
    <cellStyle name="Separador de milhares 2 2 2 7 2" xfId="1188" xr:uid="{666B3EB4-5410-4886-8FDE-3A4A761A82E5}"/>
    <cellStyle name="Separador de milhares 2 2 2 8" xfId="775" xr:uid="{6FB8CD6F-099F-41FA-B60F-4C5887D0C8CC}"/>
    <cellStyle name="Separador de milhares 2 2 2 8 2" xfId="1556" xr:uid="{53F44098-53A1-478E-8971-C334FA117E51}"/>
    <cellStyle name="Separador de milhares 2 2 2 9" xfId="821" xr:uid="{58F98BC2-8809-4600-801C-EFC878DB212B}"/>
    <cellStyle name="Separador de milhares 2 2 3" xfId="63" xr:uid="{FA69EF3B-4A0D-492C-BAFD-105EF9B7A93F}"/>
    <cellStyle name="Separador de milhares 2 2 3 2" xfId="201" xr:uid="{DF6BCF1E-B737-4709-911B-3568FF7B8D66}"/>
    <cellStyle name="Separador de milhares 2 2 3 2 2" xfId="568" xr:uid="{3D24222F-A404-4F3F-A068-BEE1BD948EF7}"/>
    <cellStyle name="Separador de milhares 2 2 3 2 2 2" xfId="1349" xr:uid="{38783A2D-E3BB-4BE0-867B-F902F9B16053}"/>
    <cellStyle name="Separador de milhares 2 2 3 2 3" xfId="982" xr:uid="{47831168-2FC0-446D-B1BC-E9C383194322}"/>
    <cellStyle name="Separador de milhares 2 2 3 3" xfId="430" xr:uid="{6E884680-A1C6-49B1-B584-29C9B525E801}"/>
    <cellStyle name="Separador de milhares 2 2 3 3 2" xfId="1211" xr:uid="{1A904616-FE70-4A2E-B78F-F37EF5A7704D}"/>
    <cellStyle name="Separador de milhares 2 2 3 4" xfId="844" xr:uid="{B720D5CB-428F-49B4-8F05-8275430BFED0}"/>
    <cellStyle name="Separador de milhares 2 2 4" xfId="109" xr:uid="{F8CDC31B-8A22-4E43-A616-555D5DCA1CB7}"/>
    <cellStyle name="Separador de milhares 2 2 4 2" xfId="246" xr:uid="{B032B8BE-3869-4BA8-ACAD-5372CE647FC4}"/>
    <cellStyle name="Separador de milhares 2 2 4 2 2" xfId="613" xr:uid="{35F47254-9C33-4612-A19C-AB614D93F863}"/>
    <cellStyle name="Separador de milhares 2 2 4 2 2 2" xfId="1394" xr:uid="{86D42903-D4D1-4A9C-B359-ABEBBD958A8E}"/>
    <cellStyle name="Separador de milhares 2 2 4 2 3" xfId="1027" xr:uid="{A200E8E9-4FDB-4375-A79C-128D3A6D06A6}"/>
    <cellStyle name="Separador de milhares 2 2 4 3" xfId="476" xr:uid="{C2BEFC82-7893-4497-8DE5-9A0F7F5B7978}"/>
    <cellStyle name="Separador de milhares 2 2 4 3 2" xfId="1257" xr:uid="{62670D82-51B4-459C-A1C8-87CECF10D2C6}"/>
    <cellStyle name="Separador de milhares 2 2 4 4" xfId="890" xr:uid="{D00EB138-8407-4856-9662-13C62A347176}"/>
    <cellStyle name="Separador de milhares 2 2 5" xfId="155" xr:uid="{7ACDA27C-8C0F-43A8-80B5-CB69038C52ED}"/>
    <cellStyle name="Separador de milhares 2 2 5 2" xfId="522" xr:uid="{3436FA45-54ED-487F-A2CC-0105252BC019}"/>
    <cellStyle name="Separador de milhares 2 2 5 2 2" xfId="1303" xr:uid="{5432FCF0-D676-4DFB-BA8A-82D985118503}"/>
    <cellStyle name="Separador de milhares 2 2 5 3" xfId="936" xr:uid="{0F68FF75-0373-40B6-BA97-93A789116CB5}"/>
    <cellStyle name="Separador de milhares 2 2 6" xfId="292" xr:uid="{04544668-742C-47AE-8FF8-D2024F6F10EA}"/>
    <cellStyle name="Separador de milhares 2 2 6 2" xfId="659" xr:uid="{FB576EB9-AAE7-43CA-B16E-19F7789C9995}"/>
    <cellStyle name="Separador de milhares 2 2 6 2 2" xfId="1440" xr:uid="{7C30D369-7D26-437B-BCDC-7F6A33EAAB88}"/>
    <cellStyle name="Separador de milhares 2 2 6 3" xfId="1073" xr:uid="{B86ED8BC-4050-4FD4-9A6F-D1932C9AAC33}"/>
    <cellStyle name="Separador de milhares 2 2 7" xfId="338" xr:uid="{189C66E2-7731-4EB2-A1BF-B24396B8F02A}"/>
    <cellStyle name="Separador de milhares 2 2 7 2" xfId="705" xr:uid="{ECFF60BA-0BFC-4A6B-972D-2C88BD2A2312}"/>
    <cellStyle name="Separador de milhares 2 2 7 2 2" xfId="1486" xr:uid="{BFCA6924-6836-4C12-A469-FBE2BDA33F1B}"/>
    <cellStyle name="Separador de milhares 2 2 7 3" xfId="1119" xr:uid="{8288DD35-80C0-4683-9090-9AAC09619C4C}"/>
    <cellStyle name="Separador de milhares 2 2 8" xfId="385" xr:uid="{EE94A410-8B89-4BC6-825C-E26A29F97540}"/>
    <cellStyle name="Separador de milhares 2 2 8 2" xfId="1166" xr:uid="{5E15D8F1-0A78-440D-AB95-0802E93BB0C2}"/>
    <cellStyle name="Separador de milhares 2 2 9" xfId="753" xr:uid="{5E162FC0-F0FA-4ADF-AD12-F2AA5F3A8C07}"/>
    <cellStyle name="Separador de milhares 2 2 9 2" xfId="1534" xr:uid="{2641A45D-BE79-4623-831E-35818260D4E6}"/>
    <cellStyle name="Separador de milhares 2 3" xfId="29" xr:uid="{834CC966-BEF3-404B-B810-20853FF86CE0}"/>
    <cellStyle name="Separador de milhares 2 3 2" xfId="74" xr:uid="{772F61DD-6633-4B9C-88CA-EA10BAB92CA8}"/>
    <cellStyle name="Separador de milhares 2 3 2 2" xfId="212" xr:uid="{B019D2F8-CF87-4B3B-ADA3-C3DAE64860E6}"/>
    <cellStyle name="Separador de milhares 2 3 2 2 2" xfId="579" xr:uid="{CFEC229F-0611-4FB0-98D8-ADE14514D441}"/>
    <cellStyle name="Separador de milhares 2 3 2 2 2 2" xfId="1360" xr:uid="{6CEF6E49-C4B6-4039-ABBD-7EE415379B4A}"/>
    <cellStyle name="Separador de milhares 2 3 2 2 3" xfId="993" xr:uid="{5955B8EA-BEC9-4CD6-8906-E7CA011297B8}"/>
    <cellStyle name="Separador de milhares 2 3 2 3" xfId="441" xr:uid="{D2DAF30B-CE98-4BE1-8E07-9D12B8041454}"/>
    <cellStyle name="Separador de milhares 2 3 2 3 2" xfId="1222" xr:uid="{4FC71988-9F5E-43DD-8B4A-AB59D990A372}"/>
    <cellStyle name="Separador de milhares 2 3 2 4" xfId="855" xr:uid="{3337E3ED-0BC5-41E2-AB4E-72DA9FDA49C7}"/>
    <cellStyle name="Separador de milhares 2 3 3" xfId="120" xr:uid="{B1135EB8-584E-4201-8473-FF53DC749078}"/>
    <cellStyle name="Separador de milhares 2 3 3 2" xfId="257" xr:uid="{74C677FA-184E-4911-8667-98A5EEDACF96}"/>
    <cellStyle name="Separador de milhares 2 3 3 2 2" xfId="624" xr:uid="{0995D477-275B-414E-A9FC-15E60B0594E6}"/>
    <cellStyle name="Separador de milhares 2 3 3 2 2 2" xfId="1405" xr:uid="{20B61C59-74E1-4C63-B734-4F757E8872D7}"/>
    <cellStyle name="Separador de milhares 2 3 3 2 3" xfId="1038" xr:uid="{EA69AA9E-02E2-4726-BEFE-8BB0BC4CD798}"/>
    <cellStyle name="Separador de milhares 2 3 3 3" xfId="487" xr:uid="{61ADD967-66DC-40E3-902B-155E7D3C0988}"/>
    <cellStyle name="Separador de milhares 2 3 3 3 2" xfId="1268" xr:uid="{F7BDB311-AD82-4F1D-ABDD-4306793A1FC7}"/>
    <cellStyle name="Separador de milhares 2 3 3 4" xfId="901" xr:uid="{E2AC49F5-55C8-4D55-99EB-68296367C250}"/>
    <cellStyle name="Separador de milhares 2 3 4" xfId="166" xr:uid="{A65E7695-CCC1-440D-966F-DE12F123980C}"/>
    <cellStyle name="Separador de milhares 2 3 4 2" xfId="533" xr:uid="{EA3C45EA-CC78-4EE8-B299-8F7DC570EAF5}"/>
    <cellStyle name="Separador de milhares 2 3 4 2 2" xfId="1314" xr:uid="{7F7F81CF-A925-4F4B-A48F-303FCCC7B3EA}"/>
    <cellStyle name="Separador de milhares 2 3 4 3" xfId="947" xr:uid="{9D078D62-5994-4495-BB7B-4C8664781E64}"/>
    <cellStyle name="Separador de milhares 2 3 5" xfId="303" xr:uid="{76C25AC9-C9F2-4496-A97D-16F144169059}"/>
    <cellStyle name="Separador de milhares 2 3 5 2" xfId="670" xr:uid="{21D6C752-94F0-46B9-8133-CFAC877AA2BE}"/>
    <cellStyle name="Separador de milhares 2 3 5 2 2" xfId="1451" xr:uid="{0327CCDF-34AD-4CFE-9FE4-2EDE4DA40A2C}"/>
    <cellStyle name="Separador de milhares 2 3 5 3" xfId="1084" xr:uid="{5BFEF658-BA0D-4634-8139-75047F38279E}"/>
    <cellStyle name="Separador de milhares 2 3 6" xfId="349" xr:uid="{DC728EB7-1BA3-4D56-8E81-39D59D7B4ED1}"/>
    <cellStyle name="Separador de milhares 2 3 6 2" xfId="716" xr:uid="{0D052787-FF8A-4963-9A14-91243146B874}"/>
    <cellStyle name="Separador de milhares 2 3 6 2 2" xfId="1497" xr:uid="{0473BF2C-092B-4016-9835-EA84FD519292}"/>
    <cellStyle name="Separador de milhares 2 3 6 3" xfId="1130" xr:uid="{602FC5B1-F304-4A6C-BB81-0399839C6F5B}"/>
    <cellStyle name="Separador de milhares 2 3 7" xfId="396" xr:uid="{ADC780E1-32E8-4642-B461-B4A17256C7A7}"/>
    <cellStyle name="Separador de milhares 2 3 7 2" xfId="1177" xr:uid="{989104D6-26A5-48E0-969D-6D65F7D6F6A8}"/>
    <cellStyle name="Separador de milhares 2 3 8" xfId="764" xr:uid="{009EF71F-2740-4F74-88F0-BBA6E233DB18}"/>
    <cellStyle name="Separador de milhares 2 3 8 2" xfId="1545" xr:uid="{175A029D-8A02-43BA-8F38-F7A9B1E43E2B}"/>
    <cellStyle name="Separador de milhares 2 3 9" xfId="810" xr:uid="{E9C96415-47F9-4AE2-BEAC-9A1456AF41CD}"/>
    <cellStyle name="Separador de milhares 2 4" xfId="52" xr:uid="{B0C3221E-5960-44EE-9BF4-85321E072651}"/>
    <cellStyle name="Separador de milhares 2 4 2" xfId="190" xr:uid="{DE36EDD6-7BB9-44D3-BA6E-73E389C904FD}"/>
    <cellStyle name="Separador de milhares 2 4 2 2" xfId="557" xr:uid="{5E0976C9-48FE-4B4B-A199-325839726235}"/>
    <cellStyle name="Separador de milhares 2 4 2 2 2" xfId="1338" xr:uid="{966BA2E2-C4FF-4386-A3A0-4C2337BB0968}"/>
    <cellStyle name="Separador de milhares 2 4 2 3" xfId="971" xr:uid="{AD2D858E-8581-4C32-8951-60DE3632C96A}"/>
    <cellStyle name="Separador de milhares 2 4 3" xfId="419" xr:uid="{0C2C80BA-EBCE-4D13-8393-5C01F19223FD}"/>
    <cellStyle name="Separador de milhares 2 4 3 2" xfId="1200" xr:uid="{4C57BA63-878E-43C0-9AAC-BAD889F6FF7B}"/>
    <cellStyle name="Separador de milhares 2 4 4" xfId="833" xr:uid="{42EAC904-1AF9-459B-B1A7-9AD9582844BD}"/>
    <cellStyle name="Separador de milhares 2 5" xfId="98" xr:uid="{03B5042A-AAAB-4FB6-B0E3-36D72E7C5600}"/>
    <cellStyle name="Separador de milhares 2 5 2" xfId="235" xr:uid="{0FA74A7E-FC1C-437B-BB55-A783B5A39FA7}"/>
    <cellStyle name="Separador de milhares 2 5 2 2" xfId="602" xr:uid="{22076C2E-FE09-4DB6-9C86-624975B0A76C}"/>
    <cellStyle name="Separador de milhares 2 5 2 2 2" xfId="1383" xr:uid="{1017204F-2891-4E7B-8998-B41AEB452E99}"/>
    <cellStyle name="Separador de milhares 2 5 2 3" xfId="1016" xr:uid="{B419B9B2-953B-4025-BB06-D4A7172138E1}"/>
    <cellStyle name="Separador de milhares 2 5 3" xfId="465" xr:uid="{20CCB4C1-FA58-42E9-A3B3-C838C62D4E8C}"/>
    <cellStyle name="Separador de milhares 2 5 3 2" xfId="1246" xr:uid="{8B7B58B5-69F3-4705-9051-B7CC966CC332}"/>
    <cellStyle name="Separador de milhares 2 5 4" xfId="879" xr:uid="{D9E3C299-2778-4954-B990-5B68E4ABA217}"/>
    <cellStyle name="Separador de milhares 2 6" xfId="144" xr:uid="{207D36CE-47ED-41EB-A865-80B38636017D}"/>
    <cellStyle name="Separador de milhares 2 6 2" xfId="511" xr:uid="{4E7173DF-F786-4030-81B1-3F6C9DCE23F7}"/>
    <cellStyle name="Separador de milhares 2 6 2 2" xfId="1292" xr:uid="{C0FEFD82-517F-4F36-92D1-801FAF92A1F9}"/>
    <cellStyle name="Separador de milhares 2 6 3" xfId="925" xr:uid="{7273AAA8-E1AD-42E4-819D-364C359B6805}"/>
    <cellStyle name="Separador de milhares 2 7" xfId="281" xr:uid="{E4ADBD41-4FA3-4AEE-AE8E-067FD8840068}"/>
    <cellStyle name="Separador de milhares 2 7 2" xfId="648" xr:uid="{6935D11B-A3F9-4344-9534-1F45DE0E00B9}"/>
    <cellStyle name="Separador de milhares 2 7 2 2" xfId="1429" xr:uid="{2860BC4A-7668-4E44-84E9-821F211E1B96}"/>
    <cellStyle name="Separador de milhares 2 7 3" xfId="1062" xr:uid="{7F6DDFFC-8188-4B0B-97E8-1DB3A9115257}"/>
    <cellStyle name="Separador de milhares 2 8" xfId="327" xr:uid="{039183E3-11A3-4617-9BF8-3974C0A10266}"/>
    <cellStyle name="Separador de milhares 2 8 2" xfId="694" xr:uid="{B4432628-E86F-49A3-BD81-10E58FD228BE}"/>
    <cellStyle name="Separador de milhares 2 8 2 2" xfId="1475" xr:uid="{E11190F7-B3DD-4DCA-BB8A-AB051924F7F3}"/>
    <cellStyle name="Separador de milhares 2 8 3" xfId="1108" xr:uid="{F0411C26-9921-48FA-8AF9-57F48C9B0038}"/>
    <cellStyle name="Separador de milhares 2 9" xfId="374" xr:uid="{27E0E0E9-CCAE-472D-BC0D-50D469CAF9A9}"/>
    <cellStyle name="Separador de milhares 2 9 2" xfId="1155" xr:uid="{CF55764C-F42A-4376-94EE-F7FC35F177C7}"/>
    <cellStyle name="Separador de milhares 4" xfId="7" xr:uid="{00000000-0005-0000-0000-00000D000000}"/>
    <cellStyle name="Separador de milhares 4 10" xfId="375" xr:uid="{AE39066E-1269-40DE-B20F-B141F3403673}"/>
    <cellStyle name="Separador de milhares 4 10 2" xfId="1156" xr:uid="{4D92D0C9-4F2B-4108-A9CB-7F4BBCF10D87}"/>
    <cellStyle name="Separador de milhares 4 11" xfId="743" xr:uid="{716432DC-D90B-4EA7-B2F7-FC09D7FC33C0}"/>
    <cellStyle name="Separador de milhares 4 11 2" xfId="1524" xr:uid="{06A9037D-5555-40A0-9488-87801EFA2541}"/>
    <cellStyle name="Separador de milhares 4 12" xfId="789" xr:uid="{E6BCB2E1-D9B0-4B6B-A81A-61F098B32BB0}"/>
    <cellStyle name="Separador de milhares 4 2" xfId="12" xr:uid="{00000000-0005-0000-0000-00000E000000}"/>
    <cellStyle name="Separador de milhares 4 2 10" xfId="747" xr:uid="{870FC120-DEC5-409D-AF40-2572E336ADF9}"/>
    <cellStyle name="Separador de milhares 4 2 10 2" xfId="1528" xr:uid="{CF7EAD5A-64B3-43CE-8A3B-F7425D7AD506}"/>
    <cellStyle name="Separador de milhares 4 2 11" xfId="793" xr:uid="{300FA64A-237E-40A2-B4F1-68F06D86B8E3}"/>
    <cellStyle name="Separador de milhares 4 2 2" xfId="23" xr:uid="{78119236-7613-4FF1-8865-C9848B2A047E}"/>
    <cellStyle name="Separador de milhares 4 2 2 10" xfId="804" xr:uid="{2DA50D40-1C98-41FC-867D-E07B9D8B4BC5}"/>
    <cellStyle name="Separador de milhares 4 2 2 2" xfId="45" xr:uid="{F9781D2D-429A-40A9-837E-E21B3C076618}"/>
    <cellStyle name="Separador de milhares 4 2 2 2 2" xfId="90" xr:uid="{466327EC-B3D5-47C1-B544-9088E17ACF17}"/>
    <cellStyle name="Separador de milhares 4 2 2 2 2 2" xfId="228" xr:uid="{3D34938C-B32D-47B2-98C7-8093998877E9}"/>
    <cellStyle name="Separador de milhares 4 2 2 2 2 2 2" xfId="595" xr:uid="{F18C368F-2E76-4243-BF85-A394734B43BE}"/>
    <cellStyle name="Separador de milhares 4 2 2 2 2 2 2 2" xfId="1376" xr:uid="{9149F0CB-DB2A-493A-A848-A1139FBF5C7B}"/>
    <cellStyle name="Separador de milhares 4 2 2 2 2 2 3" xfId="1009" xr:uid="{1AB53BCB-DDB4-408B-B455-2E981D52F050}"/>
    <cellStyle name="Separador de milhares 4 2 2 2 2 3" xfId="457" xr:uid="{6047380D-586B-4320-9BE6-7587477C8E74}"/>
    <cellStyle name="Separador de milhares 4 2 2 2 2 3 2" xfId="1238" xr:uid="{5F90CF4C-9E55-4147-BEAE-21DF36E95AE0}"/>
    <cellStyle name="Separador de milhares 4 2 2 2 2 4" xfId="871" xr:uid="{6D186848-434D-4AF7-A55E-E4552873A84E}"/>
    <cellStyle name="Separador de milhares 4 2 2 2 3" xfId="136" xr:uid="{75521059-CBC7-4BAA-84A9-FE78189C1DAF}"/>
    <cellStyle name="Separador de milhares 4 2 2 2 3 2" xfId="273" xr:uid="{7109D146-CDEF-4881-BC70-06600A2B1F73}"/>
    <cellStyle name="Separador de milhares 4 2 2 2 3 2 2" xfId="640" xr:uid="{F99FEDF4-0B7B-4BF5-84EF-FA3A36424613}"/>
    <cellStyle name="Separador de milhares 4 2 2 2 3 2 2 2" xfId="1421" xr:uid="{C0971E47-DEBF-42E1-B97E-2C2113DCA5CE}"/>
    <cellStyle name="Separador de milhares 4 2 2 2 3 2 3" xfId="1054" xr:uid="{51D220D8-A9E8-4EA7-AFDF-C8271F72E742}"/>
    <cellStyle name="Separador de milhares 4 2 2 2 3 3" xfId="503" xr:uid="{5C2F7191-D85A-40E8-AA45-F80283B8EB5E}"/>
    <cellStyle name="Separador de milhares 4 2 2 2 3 3 2" xfId="1284" xr:uid="{42E766CD-7EF2-413E-B9D6-17F1A8FF83FE}"/>
    <cellStyle name="Separador de milhares 4 2 2 2 3 4" xfId="917" xr:uid="{7AA02408-19CC-410A-8345-DC8AD83F7098}"/>
    <cellStyle name="Separador de milhares 4 2 2 2 4" xfId="182" xr:uid="{9A879C59-7C12-49A0-B4CE-61D42D614FE6}"/>
    <cellStyle name="Separador de milhares 4 2 2 2 4 2" xfId="549" xr:uid="{CF31D493-73A6-4017-A393-DE9DFC565E21}"/>
    <cellStyle name="Separador de milhares 4 2 2 2 4 2 2" xfId="1330" xr:uid="{9449A8D9-7DF6-48F0-9ADC-CAA550E473F0}"/>
    <cellStyle name="Separador de milhares 4 2 2 2 4 3" xfId="963" xr:uid="{AC6BE01C-E41F-49D2-9738-A1A65FEE1650}"/>
    <cellStyle name="Separador de milhares 4 2 2 2 5" xfId="319" xr:uid="{E47E078B-ADC5-459D-B5D8-7B3EF17D3D3B}"/>
    <cellStyle name="Separador de milhares 4 2 2 2 5 2" xfId="686" xr:uid="{82153285-04DA-4BAC-BBA6-45F1B86C285E}"/>
    <cellStyle name="Separador de milhares 4 2 2 2 5 2 2" xfId="1467" xr:uid="{9B4BD18B-807E-41C4-A2AD-557D051BD4F5}"/>
    <cellStyle name="Separador de milhares 4 2 2 2 5 3" xfId="1100" xr:uid="{22FFFDF6-C0CF-492C-8F89-862231862A51}"/>
    <cellStyle name="Separador de milhares 4 2 2 2 6" xfId="365" xr:uid="{61E74249-6BBE-4F7B-942F-FA9E783F6903}"/>
    <cellStyle name="Separador de milhares 4 2 2 2 6 2" xfId="732" xr:uid="{3D729844-3B86-4880-8350-A26A5F51566B}"/>
    <cellStyle name="Separador de milhares 4 2 2 2 6 2 2" xfId="1513" xr:uid="{E71D4DCB-4365-4D1F-B6CC-8ABDB33961E4}"/>
    <cellStyle name="Separador de milhares 4 2 2 2 6 3" xfId="1146" xr:uid="{928CF13D-A58F-4A73-BDB4-194FE449474C}"/>
    <cellStyle name="Separador de milhares 4 2 2 2 7" xfId="412" xr:uid="{A6DEA7B3-BB36-46BB-ADFD-E2A962A10E7C}"/>
    <cellStyle name="Separador de milhares 4 2 2 2 7 2" xfId="1193" xr:uid="{D823120A-6C71-4DB8-8F50-13E31518D245}"/>
    <cellStyle name="Separador de milhares 4 2 2 2 8" xfId="780" xr:uid="{7A41A4F4-02AC-442A-8987-03954639BFA5}"/>
    <cellStyle name="Separador de milhares 4 2 2 2 8 2" xfId="1561" xr:uid="{8442E1DE-8B87-4430-94EF-3A8EC820FE61}"/>
    <cellStyle name="Separador de milhares 4 2 2 2 9" xfId="826" xr:uid="{6459AE67-9461-42F5-84A4-542B7B8F6676}"/>
    <cellStyle name="Separador de milhares 4 2 2 3" xfId="68" xr:uid="{5F304771-E12C-4780-8A18-F03C7B0606B8}"/>
    <cellStyle name="Separador de milhares 4 2 2 3 2" xfId="206" xr:uid="{18C44F19-B639-4516-A319-1EB6B61CB1E8}"/>
    <cellStyle name="Separador de milhares 4 2 2 3 2 2" xfId="573" xr:uid="{5E99B23C-1B91-4F15-9CCF-2531AE903E06}"/>
    <cellStyle name="Separador de milhares 4 2 2 3 2 2 2" xfId="1354" xr:uid="{8A898414-6EE9-4F1E-B84E-5D2F9082A0A3}"/>
    <cellStyle name="Separador de milhares 4 2 2 3 2 3" xfId="987" xr:uid="{CA89260E-868E-4DCE-B43B-4384FA287A3F}"/>
    <cellStyle name="Separador de milhares 4 2 2 3 3" xfId="435" xr:uid="{B34AFE02-AAF4-485B-8BCD-43F781ED7394}"/>
    <cellStyle name="Separador de milhares 4 2 2 3 3 2" xfId="1216" xr:uid="{32BF10AD-DF33-4F0C-8ED8-8B64E167F1F4}"/>
    <cellStyle name="Separador de milhares 4 2 2 3 4" xfId="849" xr:uid="{D520E67F-6084-49F3-BF29-A9FBC4DBB572}"/>
    <cellStyle name="Separador de milhares 4 2 2 4" xfId="114" xr:uid="{F081CC27-46CD-47A4-BC74-27BF0160EA8C}"/>
    <cellStyle name="Separador de milhares 4 2 2 4 2" xfId="251" xr:uid="{6F7B700E-5975-4B4D-9929-2AB4FF973686}"/>
    <cellStyle name="Separador de milhares 4 2 2 4 2 2" xfId="618" xr:uid="{A47A8F4F-8E6D-47D5-B38A-EFD967102F1B}"/>
    <cellStyle name="Separador de milhares 4 2 2 4 2 2 2" xfId="1399" xr:uid="{C186BC08-9C07-44A9-B002-36D4CFE1A113}"/>
    <cellStyle name="Separador de milhares 4 2 2 4 2 3" xfId="1032" xr:uid="{9EAA1B38-3023-4810-8439-71BB4230D770}"/>
    <cellStyle name="Separador de milhares 4 2 2 4 3" xfId="481" xr:uid="{D78C4305-708C-4BC8-89AA-3AC733EE213E}"/>
    <cellStyle name="Separador de milhares 4 2 2 4 3 2" xfId="1262" xr:uid="{C73628EF-A4DA-409C-9165-CC2DA79AD1AD}"/>
    <cellStyle name="Separador de milhares 4 2 2 4 4" xfId="895" xr:uid="{3E9B3306-CE2B-42B9-A921-D0C258B3A9D5}"/>
    <cellStyle name="Separador de milhares 4 2 2 5" xfId="160" xr:uid="{73FCE82D-9B1B-4D94-94FE-FCF0FA5EC7D4}"/>
    <cellStyle name="Separador de milhares 4 2 2 5 2" xfId="527" xr:uid="{92C14A84-2109-4686-BD71-CCE59783AEF3}"/>
    <cellStyle name="Separador de milhares 4 2 2 5 2 2" xfId="1308" xr:uid="{AF47524C-3E54-451B-9568-2A6715916BBA}"/>
    <cellStyle name="Separador de milhares 4 2 2 5 3" xfId="941" xr:uid="{58A18E16-B6FC-42DA-8EC3-F945E2063A97}"/>
    <cellStyle name="Separador de milhares 4 2 2 6" xfId="297" xr:uid="{E0B9A1CB-E1D4-4957-A133-E6D5118030B3}"/>
    <cellStyle name="Separador de milhares 4 2 2 6 2" xfId="664" xr:uid="{02C1CA92-EC36-49F3-89B4-D83DCDA9BBB5}"/>
    <cellStyle name="Separador de milhares 4 2 2 6 2 2" xfId="1445" xr:uid="{F8A4EF20-DFE4-467B-A14A-5CBFD1BF7C77}"/>
    <cellStyle name="Separador de milhares 4 2 2 6 3" xfId="1078" xr:uid="{A21FF1A9-531E-484C-A0E7-6AA2B15D7BA7}"/>
    <cellStyle name="Separador de milhares 4 2 2 7" xfId="343" xr:uid="{F5155A63-C511-4176-BC6B-C6D88665FCDD}"/>
    <cellStyle name="Separador de milhares 4 2 2 7 2" xfId="710" xr:uid="{36658476-236A-4F18-A1E8-8528F8D92FDF}"/>
    <cellStyle name="Separador de milhares 4 2 2 7 2 2" xfId="1491" xr:uid="{0E104353-13D1-45C5-971F-A4B756476743}"/>
    <cellStyle name="Separador de milhares 4 2 2 7 3" xfId="1124" xr:uid="{2C9F89F7-A745-489A-A467-A25C00EF3DA5}"/>
    <cellStyle name="Separador de milhares 4 2 2 8" xfId="390" xr:uid="{60BFA1AB-F011-4AA3-8318-AFC917AA5BAF}"/>
    <cellStyle name="Separador de milhares 4 2 2 8 2" xfId="1171" xr:uid="{F8ACEA77-1370-446D-BB2C-FB4A52DA6C29}"/>
    <cellStyle name="Separador de milhares 4 2 2 9" xfId="758" xr:uid="{EED7BE31-BD6E-459B-8C9C-11FA1B6ED9BC}"/>
    <cellStyle name="Separador de milhares 4 2 2 9 2" xfId="1539" xr:uid="{A27B1E62-C2C5-4850-92E0-1211ADDE532C}"/>
    <cellStyle name="Separador de milhares 4 2 3" xfId="34" xr:uid="{48641959-61AF-42AC-90C3-535DEE330EFC}"/>
    <cellStyle name="Separador de milhares 4 2 3 2" xfId="79" xr:uid="{01F0CE1B-78BB-4E9C-9519-1E12C6A6DEF5}"/>
    <cellStyle name="Separador de milhares 4 2 3 2 2" xfId="217" xr:uid="{BA6B1BDD-BA7D-4B81-8E77-318467AA96B9}"/>
    <cellStyle name="Separador de milhares 4 2 3 2 2 2" xfId="584" xr:uid="{34DE188A-BD1F-45A5-A93E-311AA744A30A}"/>
    <cellStyle name="Separador de milhares 4 2 3 2 2 2 2" xfId="1365" xr:uid="{4B39E560-5716-4541-AE7F-7E8FD12EE87A}"/>
    <cellStyle name="Separador de milhares 4 2 3 2 2 3" xfId="998" xr:uid="{80B8AE28-7383-4D58-9161-AD00625E826C}"/>
    <cellStyle name="Separador de milhares 4 2 3 2 3" xfId="446" xr:uid="{73F1EA87-4745-4C04-8CB9-18AC39F246B4}"/>
    <cellStyle name="Separador de milhares 4 2 3 2 3 2" xfId="1227" xr:uid="{2C23753A-380A-4F34-89E5-EFD345D4499D}"/>
    <cellStyle name="Separador de milhares 4 2 3 2 4" xfId="860" xr:uid="{32F3FCDE-A4AE-49C8-82C2-B2B862C0D1E0}"/>
    <cellStyle name="Separador de milhares 4 2 3 3" xfId="125" xr:uid="{5806CA3E-D039-480F-93FC-CBE3F5B0B911}"/>
    <cellStyle name="Separador de milhares 4 2 3 3 2" xfId="262" xr:uid="{8BC07DE0-F3CC-4933-BD4F-079968BDC0C8}"/>
    <cellStyle name="Separador de milhares 4 2 3 3 2 2" xfId="629" xr:uid="{9D804071-4EC0-40A9-A881-B26AB4A932D9}"/>
    <cellStyle name="Separador de milhares 4 2 3 3 2 2 2" xfId="1410" xr:uid="{7F847EE8-A94D-4974-8DCA-19E1767190F5}"/>
    <cellStyle name="Separador de milhares 4 2 3 3 2 3" xfId="1043" xr:uid="{465EE314-D7AA-42C9-87BF-4666155C5CD9}"/>
    <cellStyle name="Separador de milhares 4 2 3 3 3" xfId="492" xr:uid="{CED9B415-B818-4D79-A7D4-418BBAE77506}"/>
    <cellStyle name="Separador de milhares 4 2 3 3 3 2" xfId="1273" xr:uid="{7EC1D903-E21F-4962-A6A9-80E63B837901}"/>
    <cellStyle name="Separador de milhares 4 2 3 3 4" xfId="906" xr:uid="{C2B75046-13A0-4742-BDC4-DA6018FCD66A}"/>
    <cellStyle name="Separador de milhares 4 2 3 4" xfId="171" xr:uid="{0E82D825-7176-464E-B72A-F37D10848917}"/>
    <cellStyle name="Separador de milhares 4 2 3 4 2" xfId="538" xr:uid="{8AFED9C7-FBB8-4590-BB2A-10F05D216BFF}"/>
    <cellStyle name="Separador de milhares 4 2 3 4 2 2" xfId="1319" xr:uid="{B9B42C24-BE14-41D0-9DC7-490AECE64CDD}"/>
    <cellStyle name="Separador de milhares 4 2 3 4 3" xfId="952" xr:uid="{4692E743-A3CA-4DED-BD2B-E97448612B5F}"/>
    <cellStyle name="Separador de milhares 4 2 3 5" xfId="308" xr:uid="{E2485904-1AD6-414A-BE96-47A9C9555BDF}"/>
    <cellStyle name="Separador de milhares 4 2 3 5 2" xfId="675" xr:uid="{88AD06A7-A7FA-475C-8480-BCC24D52FA24}"/>
    <cellStyle name="Separador de milhares 4 2 3 5 2 2" xfId="1456" xr:uid="{41DFEAC9-9589-4A3D-81F3-1387E8A38392}"/>
    <cellStyle name="Separador de milhares 4 2 3 5 3" xfId="1089" xr:uid="{6793B589-9216-4088-BECD-7F7BF2A72F8E}"/>
    <cellStyle name="Separador de milhares 4 2 3 6" xfId="354" xr:uid="{BAC94FB8-4C94-47DD-8B4D-C61B10D464C9}"/>
    <cellStyle name="Separador de milhares 4 2 3 6 2" xfId="721" xr:uid="{9A0156C4-81B4-4973-81EC-C67C56CE2EF9}"/>
    <cellStyle name="Separador de milhares 4 2 3 6 2 2" xfId="1502" xr:uid="{5D439748-9FB3-47FC-B6C0-4512B1431180}"/>
    <cellStyle name="Separador de milhares 4 2 3 6 3" xfId="1135" xr:uid="{7F6B4E3B-ACD5-442A-A188-1DCEEEE03FD1}"/>
    <cellStyle name="Separador de milhares 4 2 3 7" xfId="401" xr:uid="{CBFF435E-9A66-4181-A921-3CC79470EEBE}"/>
    <cellStyle name="Separador de milhares 4 2 3 7 2" xfId="1182" xr:uid="{0E54C49B-3391-4F1B-BB8F-8466E687BA39}"/>
    <cellStyle name="Separador de milhares 4 2 3 8" xfId="769" xr:uid="{CB43C5F4-C20F-4908-B30E-E9495834A571}"/>
    <cellStyle name="Separador de milhares 4 2 3 8 2" xfId="1550" xr:uid="{B0E36F65-0628-4902-B0EA-BBD551A54A1D}"/>
    <cellStyle name="Separador de milhares 4 2 3 9" xfId="815" xr:uid="{027E9F76-9B0D-43E6-B4E4-52B1CA7E1DB1}"/>
    <cellStyle name="Separador de milhares 4 2 4" xfId="57" xr:uid="{B0F24584-D373-4C34-9C4C-5B68DF78403C}"/>
    <cellStyle name="Separador de milhares 4 2 4 2" xfId="195" xr:uid="{A5C52D07-A1DE-4ED5-BE85-702471874B73}"/>
    <cellStyle name="Separador de milhares 4 2 4 2 2" xfId="562" xr:uid="{F50411CF-9A0B-45DF-AA33-D59CBC7327FE}"/>
    <cellStyle name="Separador de milhares 4 2 4 2 2 2" xfId="1343" xr:uid="{5377BA62-4104-42B6-8EA3-7100B7B17835}"/>
    <cellStyle name="Separador de milhares 4 2 4 2 3" xfId="976" xr:uid="{5CF31042-BB2C-49C5-B7B7-BC23F384D727}"/>
    <cellStyle name="Separador de milhares 4 2 4 3" xfId="424" xr:uid="{CCB0BACD-8AED-467B-8EC3-F0670CFFE832}"/>
    <cellStyle name="Separador de milhares 4 2 4 3 2" xfId="1205" xr:uid="{D0461681-7BEB-41F1-ADDE-219D91D11899}"/>
    <cellStyle name="Separador de milhares 4 2 4 4" xfId="838" xr:uid="{D81F026C-B158-4D90-B927-51C11F3C722B}"/>
    <cellStyle name="Separador de milhares 4 2 5" xfId="103" xr:uid="{DD3D16B1-632C-4AD7-95D6-22667FEB80E9}"/>
    <cellStyle name="Separador de milhares 4 2 5 2" xfId="240" xr:uid="{8613A06A-B171-4A5F-BFC2-4807BF3F7346}"/>
    <cellStyle name="Separador de milhares 4 2 5 2 2" xfId="607" xr:uid="{6BACAA08-0DBC-48E5-96F3-AEF8588314DF}"/>
    <cellStyle name="Separador de milhares 4 2 5 2 2 2" xfId="1388" xr:uid="{D21B7522-C860-4279-BC64-6F9EF41A7008}"/>
    <cellStyle name="Separador de milhares 4 2 5 2 3" xfId="1021" xr:uid="{CE9400BB-479A-46E1-A37F-B23C27B3BEEB}"/>
    <cellStyle name="Separador de milhares 4 2 5 3" xfId="470" xr:uid="{32AF6786-869E-47E7-874F-EB7AE24083E5}"/>
    <cellStyle name="Separador de milhares 4 2 5 3 2" xfId="1251" xr:uid="{146AB551-8B82-4A88-8C45-7964A2227C73}"/>
    <cellStyle name="Separador de milhares 4 2 5 4" xfId="884" xr:uid="{0F786364-C2EC-49D9-854E-5E406D2BB92B}"/>
    <cellStyle name="Separador de milhares 4 2 6" xfId="149" xr:uid="{2EC8BD13-2817-4E9F-8775-2EB803F39AC1}"/>
    <cellStyle name="Separador de milhares 4 2 6 2" xfId="516" xr:uid="{65D7A6A9-72EA-4FEF-9BD1-552F222CE36C}"/>
    <cellStyle name="Separador de milhares 4 2 6 2 2" xfId="1297" xr:uid="{0C64AAA8-787A-442F-ADC6-739175E92463}"/>
    <cellStyle name="Separador de milhares 4 2 6 3" xfId="930" xr:uid="{6476272D-5388-4B18-9A2B-5E2C7330B9C6}"/>
    <cellStyle name="Separador de milhares 4 2 7" xfId="286" xr:uid="{2CD44426-CEB4-4F73-B427-DC865309CB91}"/>
    <cellStyle name="Separador de milhares 4 2 7 2" xfId="653" xr:uid="{4EA8B310-BF8D-43C7-80A1-A781C2B65DAA}"/>
    <cellStyle name="Separador de milhares 4 2 7 2 2" xfId="1434" xr:uid="{2FD66428-B857-4485-AF57-F00EC33E8700}"/>
    <cellStyle name="Separador de milhares 4 2 7 3" xfId="1067" xr:uid="{ED3F623C-14E1-4F4E-94B1-E88136C411CC}"/>
    <cellStyle name="Separador de milhares 4 2 8" xfId="332" xr:uid="{F2044560-7E64-4558-BFE5-1D89E7FBB3B0}"/>
    <cellStyle name="Separador de milhares 4 2 8 2" xfId="699" xr:uid="{EFE1A365-5AF9-43C7-A78F-7D409823C563}"/>
    <cellStyle name="Separador de milhares 4 2 8 2 2" xfId="1480" xr:uid="{69785120-F305-4A77-809D-4F0F72DAE14E}"/>
    <cellStyle name="Separador de milhares 4 2 8 3" xfId="1113" xr:uid="{78655DE9-D2A1-4DA8-BDD0-340A0BE91870}"/>
    <cellStyle name="Separador de milhares 4 2 9" xfId="379" xr:uid="{ECF60ACF-440C-4877-8F61-9D3BD01054DA}"/>
    <cellStyle name="Separador de milhares 4 2 9 2" xfId="1160" xr:uid="{975186DA-A3D7-4ABB-AE6A-E312BBEB64CB}"/>
    <cellStyle name="Separador de milhares 4 3" xfId="19" xr:uid="{767D4236-1DCC-4E72-8CE9-7FEF99874152}"/>
    <cellStyle name="Separador de milhares 4 3 10" xfId="800" xr:uid="{3D78197A-C6DB-47CE-84F9-9544ABC23B8B}"/>
    <cellStyle name="Separador de milhares 4 3 2" xfId="41" xr:uid="{A24C97DD-9DCA-4E60-9C87-CE233AF89FB1}"/>
    <cellStyle name="Separador de milhares 4 3 2 2" xfId="86" xr:uid="{0D07B5F8-843A-4A74-887B-F4CD4C9AECC4}"/>
    <cellStyle name="Separador de milhares 4 3 2 2 2" xfId="224" xr:uid="{9933BF6D-521B-4830-8E9B-0ABF30EE9D54}"/>
    <cellStyle name="Separador de milhares 4 3 2 2 2 2" xfId="591" xr:uid="{86E60679-D795-455D-992A-CA1D49E42440}"/>
    <cellStyle name="Separador de milhares 4 3 2 2 2 2 2" xfId="1372" xr:uid="{D813101D-FD71-4AB1-B104-B82ED87733D6}"/>
    <cellStyle name="Separador de milhares 4 3 2 2 2 3" xfId="1005" xr:uid="{6AA65005-4A43-47D8-A9E3-02E9CB72BDC9}"/>
    <cellStyle name="Separador de milhares 4 3 2 2 3" xfId="453" xr:uid="{5167A228-78AD-47AC-A8AB-FC9C258EF007}"/>
    <cellStyle name="Separador de milhares 4 3 2 2 3 2" xfId="1234" xr:uid="{10BDD2FA-218A-40ED-A06F-72540EA18BAD}"/>
    <cellStyle name="Separador de milhares 4 3 2 2 4" xfId="867" xr:uid="{26A57542-EEFF-4409-A0E3-03488B57BEB4}"/>
    <cellStyle name="Separador de milhares 4 3 2 3" xfId="132" xr:uid="{A0E55214-83F4-417E-9AB1-40823F1F2322}"/>
    <cellStyle name="Separador de milhares 4 3 2 3 2" xfId="269" xr:uid="{06230E06-3A7C-4F41-AFAF-496511587920}"/>
    <cellStyle name="Separador de milhares 4 3 2 3 2 2" xfId="636" xr:uid="{0631242C-B906-414D-B3A1-146A9C0AC96D}"/>
    <cellStyle name="Separador de milhares 4 3 2 3 2 2 2" xfId="1417" xr:uid="{866D866E-5A7E-4FBE-901B-39592EBF0B47}"/>
    <cellStyle name="Separador de milhares 4 3 2 3 2 3" xfId="1050" xr:uid="{5CCECE7D-C760-4292-A0FD-32CD508A07E2}"/>
    <cellStyle name="Separador de milhares 4 3 2 3 3" xfId="499" xr:uid="{F89AD512-69A2-4A34-86CC-9952C801BF0B}"/>
    <cellStyle name="Separador de milhares 4 3 2 3 3 2" xfId="1280" xr:uid="{BA803335-2D11-4A7B-82B8-DA8173096111}"/>
    <cellStyle name="Separador de milhares 4 3 2 3 4" xfId="913" xr:uid="{FE9F5290-402C-4A3D-BDE0-4FC30A8A3509}"/>
    <cellStyle name="Separador de milhares 4 3 2 4" xfId="178" xr:uid="{626BF932-DBD9-4014-A423-B1B1E3E49BB1}"/>
    <cellStyle name="Separador de milhares 4 3 2 4 2" xfId="545" xr:uid="{7CD187E4-1A3B-40C6-B469-C998EA14BE32}"/>
    <cellStyle name="Separador de milhares 4 3 2 4 2 2" xfId="1326" xr:uid="{D0FB0FDE-691E-4FF9-B548-A2BA3F80E728}"/>
    <cellStyle name="Separador de milhares 4 3 2 4 3" xfId="959" xr:uid="{62C1F4E0-A025-4250-B527-82FD4D962DC6}"/>
    <cellStyle name="Separador de milhares 4 3 2 5" xfId="315" xr:uid="{8C03AFD3-0A26-463B-912B-161F19058EA9}"/>
    <cellStyle name="Separador de milhares 4 3 2 5 2" xfId="682" xr:uid="{AFD1BEAA-BE2D-4EF0-A0F9-FC4A13663D4A}"/>
    <cellStyle name="Separador de milhares 4 3 2 5 2 2" xfId="1463" xr:uid="{41342C81-A756-4356-AE3F-17BF68905084}"/>
    <cellStyle name="Separador de milhares 4 3 2 5 3" xfId="1096" xr:uid="{B712250A-F9F7-48CF-9768-32B05AFFE613}"/>
    <cellStyle name="Separador de milhares 4 3 2 6" xfId="361" xr:uid="{ABFA5CD4-73E4-47B4-BA9B-D5631B5517F8}"/>
    <cellStyle name="Separador de milhares 4 3 2 6 2" xfId="728" xr:uid="{FCCB77A6-C7F9-43B4-A28B-BC2BE6074DF7}"/>
    <cellStyle name="Separador de milhares 4 3 2 6 2 2" xfId="1509" xr:uid="{8DFD6FDC-AA64-4B7D-913D-3CE2AFB83547}"/>
    <cellStyle name="Separador de milhares 4 3 2 6 3" xfId="1142" xr:uid="{7A5D3F27-9EB7-4B78-A6FC-46859FC8A38F}"/>
    <cellStyle name="Separador de milhares 4 3 2 7" xfId="408" xr:uid="{D862E588-2F3C-4530-A2A4-68E3C835AC57}"/>
    <cellStyle name="Separador de milhares 4 3 2 7 2" xfId="1189" xr:uid="{85BBD12E-C149-42B4-86E8-E20FB8EC7458}"/>
    <cellStyle name="Separador de milhares 4 3 2 8" xfId="776" xr:uid="{E48C3BF7-FDEA-43B9-8F07-B6857178CE49}"/>
    <cellStyle name="Separador de milhares 4 3 2 8 2" xfId="1557" xr:uid="{C7CBAADB-CB26-40A7-AF83-F7AD74B53304}"/>
    <cellStyle name="Separador de milhares 4 3 2 9" xfId="822" xr:uid="{BA406DDD-3CFE-4906-A03A-291FC0F1857A}"/>
    <cellStyle name="Separador de milhares 4 3 3" xfId="64" xr:uid="{17DB0FE6-3057-410E-8C73-8AA57BFAD337}"/>
    <cellStyle name="Separador de milhares 4 3 3 2" xfId="202" xr:uid="{7968BB9F-2316-4418-BC32-670C27F1EE74}"/>
    <cellStyle name="Separador de milhares 4 3 3 2 2" xfId="569" xr:uid="{3169FBB5-D7C4-4A08-9870-A5048ED7EF72}"/>
    <cellStyle name="Separador de milhares 4 3 3 2 2 2" xfId="1350" xr:uid="{2E4FC927-CF5F-40F4-8F8E-A3E25F121854}"/>
    <cellStyle name="Separador de milhares 4 3 3 2 3" xfId="983" xr:uid="{B5C94102-D4D4-410C-AFF5-176B264CE32E}"/>
    <cellStyle name="Separador de milhares 4 3 3 3" xfId="431" xr:uid="{39439D58-EA55-4D9F-BDD6-37FEE1DE8850}"/>
    <cellStyle name="Separador de milhares 4 3 3 3 2" xfId="1212" xr:uid="{E2291941-D978-4C65-856B-EB19EEBE9B90}"/>
    <cellStyle name="Separador de milhares 4 3 3 4" xfId="845" xr:uid="{FEBD2875-9C2F-4554-ADC7-36DED3501434}"/>
    <cellStyle name="Separador de milhares 4 3 4" xfId="110" xr:uid="{A73921F3-6699-4DBF-87D9-6CA982774EC6}"/>
    <cellStyle name="Separador de milhares 4 3 4 2" xfId="247" xr:uid="{86BC4AFC-B5B0-4D91-9CE7-08168AD019E8}"/>
    <cellStyle name="Separador de milhares 4 3 4 2 2" xfId="614" xr:uid="{9630CB47-FFD7-400E-9ECD-4AA4FBC15CD3}"/>
    <cellStyle name="Separador de milhares 4 3 4 2 2 2" xfId="1395" xr:uid="{400CBA72-9FED-404D-912E-0C0EE2619AE4}"/>
    <cellStyle name="Separador de milhares 4 3 4 2 3" xfId="1028" xr:uid="{06600C4D-11D6-4BED-BFBD-AFD0A13F202B}"/>
    <cellStyle name="Separador de milhares 4 3 4 3" xfId="477" xr:uid="{A6B8D5AE-A982-46A9-8886-CBBE10F46666}"/>
    <cellStyle name="Separador de milhares 4 3 4 3 2" xfId="1258" xr:uid="{284F8ED1-0B13-429C-9D63-41BD39635D13}"/>
    <cellStyle name="Separador de milhares 4 3 4 4" xfId="891" xr:uid="{A6FE7CD6-B4BC-4E72-8BD3-C28075EA3CB0}"/>
    <cellStyle name="Separador de milhares 4 3 5" xfId="156" xr:uid="{10216D85-CB6E-4F5A-8492-6633F5E53C1B}"/>
    <cellStyle name="Separador de milhares 4 3 5 2" xfId="523" xr:uid="{7FDB9080-B596-44AF-8303-DBD623F2DB61}"/>
    <cellStyle name="Separador de milhares 4 3 5 2 2" xfId="1304" xr:uid="{82087DF3-953F-407F-906E-C6F9A7E45EA6}"/>
    <cellStyle name="Separador de milhares 4 3 5 3" xfId="937" xr:uid="{62342046-8FD5-4575-94F7-4957547E907A}"/>
    <cellStyle name="Separador de milhares 4 3 6" xfId="293" xr:uid="{4FB9F537-4DD7-46EB-8AED-C944DF93E5EB}"/>
    <cellStyle name="Separador de milhares 4 3 6 2" xfId="660" xr:uid="{9D7A28C4-CD16-4BFF-8063-A39749B85CA9}"/>
    <cellStyle name="Separador de milhares 4 3 6 2 2" xfId="1441" xr:uid="{110C118E-1435-4ABD-84FB-1B8F3D98B521}"/>
    <cellStyle name="Separador de milhares 4 3 6 3" xfId="1074" xr:uid="{769E3FD3-92E3-4D5D-9998-09246DBA401F}"/>
    <cellStyle name="Separador de milhares 4 3 7" xfId="339" xr:uid="{996EEEDB-6501-42F9-8386-3E74CEF5BE3C}"/>
    <cellStyle name="Separador de milhares 4 3 7 2" xfId="706" xr:uid="{83C5F7D0-497D-47A9-80F8-6CAC94DCC6FA}"/>
    <cellStyle name="Separador de milhares 4 3 7 2 2" xfId="1487" xr:uid="{A9E68D75-3C29-4EEA-B432-C04D4971C703}"/>
    <cellStyle name="Separador de milhares 4 3 7 3" xfId="1120" xr:uid="{5795FBE1-A38F-4486-A907-DB28909E6314}"/>
    <cellStyle name="Separador de milhares 4 3 8" xfId="386" xr:uid="{321015FD-7803-4136-8867-E2B1CB6B9DE2}"/>
    <cellStyle name="Separador de milhares 4 3 8 2" xfId="1167" xr:uid="{33AA02D9-D32B-4F16-92DA-01A2F8DE3201}"/>
    <cellStyle name="Separador de milhares 4 3 9" xfId="754" xr:uid="{313102FD-3F0A-4CEC-8511-81EC6A304249}"/>
    <cellStyle name="Separador de milhares 4 3 9 2" xfId="1535" xr:uid="{BECBF05A-4547-4418-9B43-D5A11A3C685C}"/>
    <cellStyle name="Separador de milhares 4 4" xfId="30" xr:uid="{236097A6-C2E2-4B0A-B8CB-25DA957A095A}"/>
    <cellStyle name="Separador de milhares 4 4 2" xfId="75" xr:uid="{32893420-FF8B-48F1-95E5-E98BA5ED4F2A}"/>
    <cellStyle name="Separador de milhares 4 4 2 2" xfId="213" xr:uid="{4C3B928C-6C90-4FBB-96A6-8608FD653244}"/>
    <cellStyle name="Separador de milhares 4 4 2 2 2" xfId="580" xr:uid="{AC488149-788E-4ABC-9734-1B84B10056C5}"/>
    <cellStyle name="Separador de milhares 4 4 2 2 2 2" xfId="1361" xr:uid="{0C9C29A2-AB8B-474C-AE53-E0CEA105AC67}"/>
    <cellStyle name="Separador de milhares 4 4 2 2 3" xfId="994" xr:uid="{76A760A1-5FD5-43C2-910B-CED00EC85F63}"/>
    <cellStyle name="Separador de milhares 4 4 2 3" xfId="442" xr:uid="{65372BD6-9E2B-4A61-992C-78F04763894B}"/>
    <cellStyle name="Separador de milhares 4 4 2 3 2" xfId="1223" xr:uid="{C43FCC25-F4E8-4639-BE73-7B01B9B7F1FE}"/>
    <cellStyle name="Separador de milhares 4 4 2 4" xfId="856" xr:uid="{F9DBF88F-5237-4163-AD35-CCA0E33B7C67}"/>
    <cellStyle name="Separador de milhares 4 4 3" xfId="121" xr:uid="{23CCB536-A178-4867-AD76-A42C61D96FF9}"/>
    <cellStyle name="Separador de milhares 4 4 3 2" xfId="258" xr:uid="{211F34B1-F40D-49A0-A268-FC6A73BBB86D}"/>
    <cellStyle name="Separador de milhares 4 4 3 2 2" xfId="625" xr:uid="{12EB9EE8-0D93-4F42-B3B6-181ED40ECEDA}"/>
    <cellStyle name="Separador de milhares 4 4 3 2 2 2" xfId="1406" xr:uid="{F139F03B-15B9-471E-A088-36EC8D4C79D7}"/>
    <cellStyle name="Separador de milhares 4 4 3 2 3" xfId="1039" xr:uid="{13E1E129-4DD1-4C10-A993-A4EEC09F2338}"/>
    <cellStyle name="Separador de milhares 4 4 3 3" xfId="488" xr:uid="{9BF29D04-A5D4-4649-BAEB-D680544FDA72}"/>
    <cellStyle name="Separador de milhares 4 4 3 3 2" xfId="1269" xr:uid="{817312F9-56C7-4F2F-865B-6B02CCF83030}"/>
    <cellStyle name="Separador de milhares 4 4 3 4" xfId="902" xr:uid="{804ADF2C-19A4-4C85-A579-F895AA7897BA}"/>
    <cellStyle name="Separador de milhares 4 4 4" xfId="167" xr:uid="{7FF146C4-A33D-4869-8093-21B88A81E6EC}"/>
    <cellStyle name="Separador de milhares 4 4 4 2" xfId="534" xr:uid="{4F6FD558-04FF-4D2A-8B49-05D84E4F7E08}"/>
    <cellStyle name="Separador de milhares 4 4 4 2 2" xfId="1315" xr:uid="{7B52260C-CB75-4133-8264-D6789DE01B0E}"/>
    <cellStyle name="Separador de milhares 4 4 4 3" xfId="948" xr:uid="{304F847D-8C4E-490A-AE0F-7F7728E7CCCB}"/>
    <cellStyle name="Separador de milhares 4 4 5" xfId="304" xr:uid="{F39535B9-4630-4F19-8861-ABE6B02B1B58}"/>
    <cellStyle name="Separador de milhares 4 4 5 2" xfId="671" xr:uid="{D3E54F30-E79C-4C6F-B9A8-810F2622C177}"/>
    <cellStyle name="Separador de milhares 4 4 5 2 2" xfId="1452" xr:uid="{4FFB5165-39EE-4020-A033-14D7A0E0E6D2}"/>
    <cellStyle name="Separador de milhares 4 4 5 3" xfId="1085" xr:uid="{6DC26A88-A46B-4034-9FE3-C080B2AE6D24}"/>
    <cellStyle name="Separador de milhares 4 4 6" xfId="350" xr:uid="{33CE60ED-78BC-4A47-A874-C3497FD84C88}"/>
    <cellStyle name="Separador de milhares 4 4 6 2" xfId="717" xr:uid="{1FCBEB73-8F91-4FAA-B89C-DB9FC43D59AF}"/>
    <cellStyle name="Separador de milhares 4 4 6 2 2" xfId="1498" xr:uid="{9E6DC75F-55CF-45A4-953A-244D63700E22}"/>
    <cellStyle name="Separador de milhares 4 4 6 3" xfId="1131" xr:uid="{54C5112C-E6AA-471E-B6F4-A4C9CA16623C}"/>
    <cellStyle name="Separador de milhares 4 4 7" xfId="397" xr:uid="{AEDC226A-C8C6-48B3-9001-108F51AECC25}"/>
    <cellStyle name="Separador de milhares 4 4 7 2" xfId="1178" xr:uid="{15FF5B08-CB00-4941-BEA6-D8C5F16DBC8F}"/>
    <cellStyle name="Separador de milhares 4 4 8" xfId="765" xr:uid="{69536632-6B6C-40D5-B0DE-494A32001C23}"/>
    <cellStyle name="Separador de milhares 4 4 8 2" xfId="1546" xr:uid="{53441B7F-E9D3-499F-82B9-7EE2499A3AF2}"/>
    <cellStyle name="Separador de milhares 4 4 9" xfId="811" xr:uid="{6B5CEE48-6DE2-499E-8884-D6F3EF6CD502}"/>
    <cellStyle name="Separador de milhares 4 5" xfId="53" xr:uid="{A693596E-0E84-4B63-A127-9BB05A422E23}"/>
    <cellStyle name="Separador de milhares 4 5 2" xfId="191" xr:uid="{E699905D-9F63-4A7B-8E49-4B552393F320}"/>
    <cellStyle name="Separador de milhares 4 5 2 2" xfId="558" xr:uid="{6AB2979D-89E6-43D4-8722-54217DF0F71B}"/>
    <cellStyle name="Separador de milhares 4 5 2 2 2" xfId="1339" xr:uid="{4B3D1537-5EFF-4EAD-B47F-091D2170BB87}"/>
    <cellStyle name="Separador de milhares 4 5 2 3" xfId="972" xr:uid="{1AD8289F-9CC9-452D-B658-6D1A4BC067F9}"/>
    <cellStyle name="Separador de milhares 4 5 3" xfId="420" xr:uid="{C2A90D8F-0CE3-4C9F-9153-F09F9ACB3C88}"/>
    <cellStyle name="Separador de milhares 4 5 3 2" xfId="1201" xr:uid="{686F1D3C-5134-4643-A837-5FF20A0F35BD}"/>
    <cellStyle name="Separador de milhares 4 5 4" xfId="834" xr:uid="{4F1603F2-1385-42EB-A90F-93B28FBE079A}"/>
    <cellStyle name="Separador de milhares 4 6" xfId="99" xr:uid="{FE2BABD4-65BE-4FC7-966B-2BBB591FA8EA}"/>
    <cellStyle name="Separador de milhares 4 6 2" xfId="236" xr:uid="{0E7789FA-42C9-4629-8C3C-101777CB5C61}"/>
    <cellStyle name="Separador de milhares 4 6 2 2" xfId="603" xr:uid="{BCB7AB6F-4E74-4E51-972A-88BF1AB52C14}"/>
    <cellStyle name="Separador de milhares 4 6 2 2 2" xfId="1384" xr:uid="{B7E3E556-242E-47F1-9611-4B4CB239663B}"/>
    <cellStyle name="Separador de milhares 4 6 2 3" xfId="1017" xr:uid="{5D43F266-DB66-4B94-905A-11B962EE15A5}"/>
    <cellStyle name="Separador de milhares 4 6 3" xfId="466" xr:uid="{BB140DC8-5305-4D4C-A67F-40DC3BCF65B0}"/>
    <cellStyle name="Separador de milhares 4 6 3 2" xfId="1247" xr:uid="{EFA273E7-9A5C-44DF-8707-01B774E042A3}"/>
    <cellStyle name="Separador de milhares 4 6 4" xfId="880" xr:uid="{6259871D-BA76-432A-B8F6-0BE8C2436F2B}"/>
    <cellStyle name="Separador de milhares 4 7" xfId="145" xr:uid="{E021312E-31D5-414F-9420-829FDC71B8F5}"/>
    <cellStyle name="Separador de milhares 4 7 2" xfId="512" xr:uid="{596034F8-F219-4519-A8D6-DE2D25672873}"/>
    <cellStyle name="Separador de milhares 4 7 2 2" xfId="1293" xr:uid="{7AFDE0E4-7581-426C-A2EC-25488193A9FF}"/>
    <cellStyle name="Separador de milhares 4 7 3" xfId="926" xr:uid="{BEA71FB5-2B01-4DB7-A7DC-4856253A171D}"/>
    <cellStyle name="Separador de milhares 4 8" xfId="282" xr:uid="{C5EE6F42-B493-4A5B-A095-B2EB555C3AC4}"/>
    <cellStyle name="Separador de milhares 4 8 2" xfId="649" xr:uid="{10A12DAC-46DB-472E-8E17-8379A8F5F22F}"/>
    <cellStyle name="Separador de milhares 4 8 2 2" xfId="1430" xr:uid="{38EF40A0-2E1A-4B56-9924-6C07C35E3438}"/>
    <cellStyle name="Separador de milhares 4 8 3" xfId="1063" xr:uid="{B76141D9-CE95-4452-92E7-1AC37614553F}"/>
    <cellStyle name="Separador de milhares 4 9" xfId="328" xr:uid="{4D2BBC45-C93A-48DE-8DF0-FD86BA4213CB}"/>
    <cellStyle name="Separador de milhares 4 9 2" xfId="695" xr:uid="{0FE80EB8-6C7F-4857-B967-28195B94F349}"/>
    <cellStyle name="Separador de milhares 4 9 2 2" xfId="1476" xr:uid="{EF089FF1-EC08-47E3-8079-DB70991498D0}"/>
    <cellStyle name="Separador de milhares 4 9 3" xfId="1109" xr:uid="{D507685F-8033-419A-A6B0-E50192A76CC3}"/>
    <cellStyle name="Vírgula" xfId="785" builtinId="3"/>
    <cellStyle name="Vírgula 2" xfId="16" xr:uid="{EEFD88D5-CD15-4430-993E-F3496417179C}"/>
    <cellStyle name="Vírgula 2 10" xfId="797" xr:uid="{C1C51648-EEA1-48DC-B0AF-E113BA4D2471}"/>
    <cellStyle name="Vírgula 2 2" xfId="38" xr:uid="{6C5F9FEF-0BED-4883-9FBE-60D18A0BF417}"/>
    <cellStyle name="Vírgula 2 2 2" xfId="83" xr:uid="{0A630508-7B79-4A03-8A2B-D1E943743698}"/>
    <cellStyle name="Vírgula 2 2 2 2" xfId="221" xr:uid="{5ADBDCD4-9C97-4BE1-82BE-515A9FF1ACE0}"/>
    <cellStyle name="Vírgula 2 2 2 2 2" xfId="588" xr:uid="{61FA68EB-A919-4D7A-BC1A-4D6E435DB98B}"/>
    <cellStyle name="Vírgula 2 2 2 2 2 2" xfId="1369" xr:uid="{8F6C6926-2F83-49AB-8758-27FEF91A0420}"/>
    <cellStyle name="Vírgula 2 2 2 2 3" xfId="1002" xr:uid="{108E18E8-95E4-4C73-9BD4-E10F0B073B6A}"/>
    <cellStyle name="Vírgula 2 2 2 3" xfId="450" xr:uid="{EB898904-2C1C-4DC4-99C6-6CF90EC1D780}"/>
    <cellStyle name="Vírgula 2 2 2 3 2" xfId="1231" xr:uid="{24AC1539-0E1A-4720-A87F-0AB31684B52A}"/>
    <cellStyle name="Vírgula 2 2 2 4" xfId="864" xr:uid="{F864735E-9509-411B-AC97-1C3104DA14A9}"/>
    <cellStyle name="Vírgula 2 2 3" xfId="129" xr:uid="{4C220953-9D98-4320-A9F9-11F5702B095D}"/>
    <cellStyle name="Vírgula 2 2 3 2" xfId="266" xr:uid="{A3EB5EB5-DB46-4709-A2CB-476104358BB9}"/>
    <cellStyle name="Vírgula 2 2 3 2 2" xfId="633" xr:uid="{BAF3AFFE-7B54-42F1-9B2B-D4582CB50AEC}"/>
    <cellStyle name="Vírgula 2 2 3 2 2 2" xfId="1414" xr:uid="{4B4272CD-1A51-41F5-84CA-0F8379C76941}"/>
    <cellStyle name="Vírgula 2 2 3 2 3" xfId="1047" xr:uid="{3C0E4DAD-9263-4E42-9ECB-6F998DA85D4E}"/>
    <cellStyle name="Vírgula 2 2 3 3" xfId="496" xr:uid="{DA7A53CC-95D7-4CB0-B76D-06C44A415726}"/>
    <cellStyle name="Vírgula 2 2 3 3 2" xfId="1277" xr:uid="{531903E6-C2AC-4ABF-86F7-246CDCC5B4B6}"/>
    <cellStyle name="Vírgula 2 2 3 4" xfId="910" xr:uid="{2C6EB95C-8601-4F44-8D1C-C3EFFC87C921}"/>
    <cellStyle name="Vírgula 2 2 4" xfId="175" xr:uid="{EB38DD2E-615E-47F9-9862-6FA1D602EBA0}"/>
    <cellStyle name="Vírgula 2 2 4 2" xfId="542" xr:uid="{151F156F-169A-462E-BAB5-27106598F7E8}"/>
    <cellStyle name="Vírgula 2 2 4 2 2" xfId="1323" xr:uid="{3F5791C6-7FF6-4B4E-B4A0-BC9D99675040}"/>
    <cellStyle name="Vírgula 2 2 4 3" xfId="956" xr:uid="{BE8FC965-F60E-4474-81C2-1D5327FFCA54}"/>
    <cellStyle name="Vírgula 2 2 5" xfId="312" xr:uid="{FA9B648E-5FB3-40BF-AD90-D39AECC5EDB5}"/>
    <cellStyle name="Vírgula 2 2 5 2" xfId="679" xr:uid="{5D1EAB1F-B0C5-44E4-9ACC-D68819B89DE4}"/>
    <cellStyle name="Vírgula 2 2 5 2 2" xfId="1460" xr:uid="{1009270E-7C84-42DC-9F6F-F2FF228C4441}"/>
    <cellStyle name="Vírgula 2 2 5 3" xfId="1093" xr:uid="{F3E0DDE8-5622-4EB8-A6D5-22C87C57C93F}"/>
    <cellStyle name="Vírgula 2 2 6" xfId="358" xr:uid="{CAA9CE91-50EF-4A83-AAB0-C80BD0E2D045}"/>
    <cellStyle name="Vírgula 2 2 6 2" xfId="725" xr:uid="{4D3538AA-5A7F-4590-B077-F2F0F46493D0}"/>
    <cellStyle name="Vírgula 2 2 6 2 2" xfId="1506" xr:uid="{04681795-F5D5-4AB6-AE3C-924F97CBA400}"/>
    <cellStyle name="Vírgula 2 2 6 3" xfId="1139" xr:uid="{43A373D4-EACE-4A0B-8DCE-85890DB558D5}"/>
    <cellStyle name="Vírgula 2 2 7" xfId="405" xr:uid="{EA5C8719-AB7E-4EC3-850F-0F4BC0B33C2A}"/>
    <cellStyle name="Vírgula 2 2 7 2" xfId="1186" xr:uid="{A1DB11A7-C53D-44E3-B0DF-33E40548D912}"/>
    <cellStyle name="Vírgula 2 2 8" xfId="773" xr:uid="{CCC19BEF-6909-4E47-8BBB-C1272E319E07}"/>
    <cellStyle name="Vírgula 2 2 8 2" xfId="1554" xr:uid="{19EAC302-5B95-4FFF-A81E-F485FF354CAD}"/>
    <cellStyle name="Vírgula 2 2 9" xfId="819" xr:uid="{8842C5FB-DBA4-4A2E-BB07-988090D6C156}"/>
    <cellStyle name="Vírgula 2 3" xfId="61" xr:uid="{B7F33677-D2BB-4F99-B6C2-E935E0CB6B28}"/>
    <cellStyle name="Vírgula 2 3 2" xfId="199" xr:uid="{BA4A00BA-A475-4061-B465-619BE670A54F}"/>
    <cellStyle name="Vírgula 2 3 2 2" xfId="566" xr:uid="{00CF30AC-84BC-4E05-BE79-8D3F18A34949}"/>
    <cellStyle name="Vírgula 2 3 2 2 2" xfId="1347" xr:uid="{F8FC104D-9237-4EBC-AA2B-9557894034E0}"/>
    <cellStyle name="Vírgula 2 3 2 3" xfId="980" xr:uid="{FF4DCDF7-CD06-4827-8018-6BF0EEED9ABA}"/>
    <cellStyle name="Vírgula 2 3 3" xfId="428" xr:uid="{7132D591-D355-4FD6-9ED6-6832D54773AA}"/>
    <cellStyle name="Vírgula 2 3 3 2" xfId="1209" xr:uid="{5A81ACA0-2B51-4F64-8019-90B8AD9CE14E}"/>
    <cellStyle name="Vírgula 2 3 4" xfId="842" xr:uid="{F08ED3EC-2328-4B1B-93B5-7DB2D4001CBA}"/>
    <cellStyle name="Vírgula 2 4" xfId="107" xr:uid="{B13E6BD1-EAD1-4923-9C21-1F12E40EF0D8}"/>
    <cellStyle name="Vírgula 2 4 2" xfId="244" xr:uid="{8E2A197D-DD2A-4C8B-9398-FD0A27F05B6A}"/>
    <cellStyle name="Vírgula 2 4 2 2" xfId="611" xr:uid="{A21EBB2A-865D-4738-ACB4-E8AFA5743E32}"/>
    <cellStyle name="Vírgula 2 4 2 2 2" xfId="1392" xr:uid="{D8260A64-010A-4795-8EF5-CEFA6F6AEB3E}"/>
    <cellStyle name="Vírgula 2 4 2 3" xfId="1025" xr:uid="{D9899D56-2746-4490-98F5-1CFFCB1D8FBD}"/>
    <cellStyle name="Vírgula 2 4 3" xfId="474" xr:uid="{12D13193-DBB4-4C77-B50A-10EA037256DD}"/>
    <cellStyle name="Vírgula 2 4 3 2" xfId="1255" xr:uid="{86795B22-E44A-47F2-A452-4CBB205EE6E2}"/>
    <cellStyle name="Vírgula 2 4 4" xfId="888" xr:uid="{3EA94D3F-53CE-4BFA-982A-574FBE67658A}"/>
    <cellStyle name="Vírgula 2 5" xfId="153" xr:uid="{7C9EE32E-E117-432D-8ACF-CFFC59B43609}"/>
    <cellStyle name="Vírgula 2 5 2" xfId="520" xr:uid="{1A5FBD27-581C-42BB-B322-E8EFB8D7A9FB}"/>
    <cellStyle name="Vírgula 2 5 2 2" xfId="1301" xr:uid="{D0207542-9A6D-447E-8642-0F6F5F3A746B}"/>
    <cellStyle name="Vírgula 2 5 3" xfId="934" xr:uid="{D4A7848E-FAC8-49B0-A1A4-4C81EAD283A8}"/>
    <cellStyle name="Vírgula 2 6" xfId="290" xr:uid="{A2306471-37EA-4440-BE9A-36841C86EFC8}"/>
    <cellStyle name="Vírgula 2 6 2" xfId="657" xr:uid="{19B4BD13-29ED-4823-AC4E-902F7B27725D}"/>
    <cellStyle name="Vírgula 2 6 2 2" xfId="1438" xr:uid="{5547CCC3-50BA-489D-AB40-47DE44A8629B}"/>
    <cellStyle name="Vírgula 2 6 3" xfId="1071" xr:uid="{4A61CC24-333F-4401-BC00-9AAC59AD990E}"/>
    <cellStyle name="Vírgula 2 7" xfId="336" xr:uid="{74A20D1B-3655-4FFF-9669-9351AB3E445C}"/>
    <cellStyle name="Vírgula 2 7 2" xfId="703" xr:uid="{58FFFFE8-B7B7-4CCB-92E4-6A47B8D9B1C4}"/>
    <cellStyle name="Vírgula 2 7 2 2" xfId="1484" xr:uid="{013BA16B-1CAA-440A-97C4-33E7AD03BB4C}"/>
    <cellStyle name="Vírgula 2 7 3" xfId="1117" xr:uid="{C18F72A0-82F4-4E35-A8D7-AFF41FE00081}"/>
    <cellStyle name="Vírgula 2 8" xfId="383" xr:uid="{C32A324C-8755-41ED-859D-16EC7EC898F4}"/>
    <cellStyle name="Vírgula 2 8 2" xfId="1164" xr:uid="{AEC28A3C-2E66-45B7-90F4-CB400378F343}"/>
    <cellStyle name="Vírgula 2 9" xfId="751" xr:uid="{565488AD-F5CE-41CA-8815-1835969A9CCA}"/>
    <cellStyle name="Vírgula 2 9 2" xfId="1532" xr:uid="{21AEEACE-0419-4A13-A54C-958340EF06BC}"/>
    <cellStyle name="Vírgula 3" xfId="27" xr:uid="{A45ACA9F-43B4-4167-85BF-52D578B0A774}"/>
    <cellStyle name="Vírgula 3 2" xfId="72" xr:uid="{A47B3FF2-7D07-4E05-98FA-62E0219D2AD3}"/>
    <cellStyle name="Vírgula 3 2 2" xfId="210" xr:uid="{35B43777-6313-4B7D-9A74-AA520334858F}"/>
    <cellStyle name="Vírgula 3 2 2 2" xfId="577" xr:uid="{3E8DB710-B917-41A6-B521-6AED70F0496F}"/>
    <cellStyle name="Vírgula 3 2 2 2 2" xfId="1358" xr:uid="{8C4A076F-5C6F-48BA-B868-E2FEB81DBE6A}"/>
    <cellStyle name="Vírgula 3 2 2 3" xfId="991" xr:uid="{70E8380E-8C77-43BA-8D80-EF82BDC06909}"/>
    <cellStyle name="Vírgula 3 2 3" xfId="439" xr:uid="{B376FD76-B4AD-466C-A89F-42F89B1EDC1D}"/>
    <cellStyle name="Vírgula 3 2 3 2" xfId="1220" xr:uid="{B0247D52-D55C-4D75-8FAD-82576A7420C1}"/>
    <cellStyle name="Vírgula 3 2 4" xfId="853" xr:uid="{E019314C-1175-4E83-A30F-E6D2F243C361}"/>
    <cellStyle name="Vírgula 3 3" xfId="118" xr:uid="{824DCE0E-FE06-4644-989C-CEF3B856BEBB}"/>
    <cellStyle name="Vírgula 3 3 2" xfId="255" xr:uid="{F1EB3E32-1949-4DC5-93CA-5CCAED1CF1C6}"/>
    <cellStyle name="Vírgula 3 3 2 2" xfId="622" xr:uid="{328736B5-4B31-475B-80A4-56DE4A0E4A71}"/>
    <cellStyle name="Vírgula 3 3 2 2 2" xfId="1403" xr:uid="{19F0E07F-9C05-4549-9F24-52F90851E041}"/>
    <cellStyle name="Vírgula 3 3 2 3" xfId="1036" xr:uid="{0589C013-EE1A-4579-A2D7-A250FE3176A3}"/>
    <cellStyle name="Vírgula 3 3 3" xfId="485" xr:uid="{9B1C4BE7-2973-4502-A647-C29D78714337}"/>
    <cellStyle name="Vírgula 3 3 3 2" xfId="1266" xr:uid="{8C5FCD4C-ADFC-480A-A0C9-53F068DFCC5C}"/>
    <cellStyle name="Vírgula 3 3 4" xfId="899" xr:uid="{3BCEFF0F-6E4E-4318-BF05-DDB9A247C5D5}"/>
    <cellStyle name="Vírgula 3 4" xfId="164" xr:uid="{28710628-3CDC-45F6-989A-4F17429B3E21}"/>
    <cellStyle name="Vírgula 3 4 2" xfId="531" xr:uid="{4EB5869F-4F12-4988-A7F3-469412AFCA6B}"/>
    <cellStyle name="Vírgula 3 4 2 2" xfId="1312" xr:uid="{C8CEAFB7-5E21-43D1-9FD8-B99AAD5D465A}"/>
    <cellStyle name="Vírgula 3 4 3" xfId="945" xr:uid="{7A507F47-9DCC-43B8-BB53-A0DB2996168A}"/>
    <cellStyle name="Vírgula 3 5" xfId="301" xr:uid="{E1C16EEF-88A6-40B1-9E64-39023065710F}"/>
    <cellStyle name="Vírgula 3 5 2" xfId="668" xr:uid="{C17F8C9E-65BA-403A-A61F-E16353717EB4}"/>
    <cellStyle name="Vírgula 3 5 2 2" xfId="1449" xr:uid="{B2F5D141-607F-42E2-AF35-625068494A6E}"/>
    <cellStyle name="Vírgula 3 5 3" xfId="1082" xr:uid="{0AD30200-DD65-4613-9B73-28B17E86AECE}"/>
    <cellStyle name="Vírgula 3 6" xfId="347" xr:uid="{F0E353C6-B195-484D-83B5-D8D2193ED26F}"/>
    <cellStyle name="Vírgula 3 6 2" xfId="714" xr:uid="{728E4DD3-851B-4E1F-85C7-148E7AB15568}"/>
    <cellStyle name="Vírgula 3 6 2 2" xfId="1495" xr:uid="{FDF09937-324C-4D0C-A2BC-9873A4763BA3}"/>
    <cellStyle name="Vírgula 3 6 3" xfId="1128" xr:uid="{9BC36CA2-44A8-404D-B1B1-60FAA9DCABE2}"/>
    <cellStyle name="Vírgula 3 7" xfId="394" xr:uid="{91A5805C-94AC-4CFF-843A-6B0D25ED3C18}"/>
    <cellStyle name="Vírgula 3 7 2" xfId="1175" xr:uid="{1F97B45E-14CF-4213-931F-6958A2CD7ACC}"/>
    <cellStyle name="Vírgula 3 8" xfId="762" xr:uid="{D405C0A3-7476-49BE-A244-E82615FB39E1}"/>
    <cellStyle name="Vírgula 3 8 2" xfId="1543" xr:uid="{2581BD43-1EA9-4C44-A47C-125B57EB4F33}"/>
    <cellStyle name="Vírgula 3 9" xfId="808" xr:uid="{7A00F530-154B-4C88-9B3F-1BA13A92997B}"/>
    <cellStyle name="Vírgula 4" xfId="50" xr:uid="{0C930D9A-F5E2-4EB9-AD3D-1BA6453E5DBE}"/>
    <cellStyle name="Vírgula 4 2" xfId="188" xr:uid="{567D48F3-9AAE-4AE2-80F8-6CB5D89B6700}"/>
    <cellStyle name="Vírgula 4 2 2" xfId="555" xr:uid="{55E44B1B-1C14-48FC-9219-6E22A8921BE5}"/>
    <cellStyle name="Vírgula 4 2 2 2" xfId="1336" xr:uid="{E70B6AB2-7EF7-4B3F-857A-82CE214176D8}"/>
    <cellStyle name="Vírgula 4 2 3" xfId="969" xr:uid="{0432CF02-DFCD-4B0F-9141-027D4778CE18}"/>
    <cellStyle name="Vírgula 4 3" xfId="417" xr:uid="{81FF589C-4CF8-42A6-B93E-67208F38387A}"/>
    <cellStyle name="Vírgula 4 3 2" xfId="1198" xr:uid="{9C9AC951-43A7-4C61-AD80-F6A99C79DDD3}"/>
    <cellStyle name="Vírgula 4 4" xfId="831" xr:uid="{FBEC9E66-FF6A-406D-96AC-FC9D2D307EDE}"/>
    <cellStyle name="Vírgula 5" xfId="96" xr:uid="{20AC7FC3-1D40-464F-804E-10F43725C1E5}"/>
    <cellStyle name="Vírgula 5 2" xfId="233" xr:uid="{2422992D-E91D-45E5-959F-952B2FCA42BD}"/>
    <cellStyle name="Vírgula 5 2 2" xfId="600" xr:uid="{35D44BAF-5E76-4B30-88ED-39325850E95E}"/>
    <cellStyle name="Vírgula 5 2 2 2" xfId="1381" xr:uid="{536BF3D8-68F7-47CC-8BC4-492B208966A8}"/>
    <cellStyle name="Vírgula 5 2 3" xfId="1014" xr:uid="{5355E66A-164D-4C07-B68A-50C57487CC2D}"/>
    <cellStyle name="Vírgula 5 3" xfId="463" xr:uid="{5BB313C6-DF36-43BD-A70B-4074A3921122}"/>
    <cellStyle name="Vírgula 5 3 2" xfId="1244" xr:uid="{6F04620C-87C0-45D5-949E-F8512446D758}"/>
    <cellStyle name="Vírgula 5 4" xfId="877" xr:uid="{5798C64A-579B-4B69-A301-6865D8BA5041}"/>
    <cellStyle name="Vírgula 6" xfId="142" xr:uid="{3FE56B84-019E-4160-AD37-AA74A4EBF174}"/>
    <cellStyle name="Vírgula 6 2" xfId="509" xr:uid="{96BC73D1-2E2A-44B8-80C8-7A907AAF03D1}"/>
    <cellStyle name="Vírgula 6 2 2" xfId="1290" xr:uid="{9ED5C204-2102-40F0-AF5D-7085D9F3E9A4}"/>
    <cellStyle name="Vírgula 6 3" xfId="923" xr:uid="{8886032E-7276-4D86-B46B-CFA49FDB8720}"/>
    <cellStyle name="Vírgula 7" xfId="279" xr:uid="{87EC7189-E115-4CE2-A597-CB5BA2CA5C07}"/>
    <cellStyle name="Vírgula 7 2" xfId="646" xr:uid="{120A2393-1082-4A1E-B404-A8362D24B319}"/>
    <cellStyle name="Vírgula 7 2 2" xfId="1427" xr:uid="{403B8122-CFE7-4FBE-A4EB-0AA9AD434E9B}"/>
    <cellStyle name="Vírgula 7 3" xfId="1060" xr:uid="{EE2E6263-8FE5-40FC-BD9E-9E4AC2A4E45F}"/>
    <cellStyle name="Vírgula 8" xfId="325" xr:uid="{051C4297-A8AC-404A-BCFD-579DECDB6A88}"/>
    <cellStyle name="Vírgula 8 2" xfId="692" xr:uid="{CF6C1EB2-496D-4690-9F00-62820748F2F5}"/>
    <cellStyle name="Vírgula 8 2 2" xfId="1473" xr:uid="{A02D401F-F4D3-4A51-8010-CCCB0BA6CA50}"/>
    <cellStyle name="Vírgula 8 3" xfId="1106" xr:uid="{95CC7AFD-5841-4366-A0FB-8001FF268A69}"/>
    <cellStyle name="Vírgula 9" xfId="740" xr:uid="{B0A3E5A0-FA27-4626-9FBD-4D53881F00FF}"/>
    <cellStyle name="Vírgula 9 2" xfId="1521" xr:uid="{9F43C80C-C006-4D7D-BCD6-B9BCC238CD7F}"/>
  </cellStyles>
  <dxfs count="1">
    <dxf>
      <numFmt numFmtId="19" formatCode="dd/mm/yyyy"/>
    </dxf>
  </dxfs>
  <tableStyles count="0" defaultTableStyle="TableStyleMedium9" defaultPivotStyle="PivotStyleLight16"/>
  <colors>
    <mruColors>
      <color rgb="FFEF3021"/>
      <color rgb="FFFA505C"/>
      <color rgb="FFFF7C80"/>
      <color rgb="FFFF0000"/>
      <color rgb="FF80B7F4"/>
      <color rgb="FFF73F3F"/>
      <color rgb="FF008EC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0</xdr:rowOff>
    </xdr:from>
    <xdr:to>
      <xdr:col>7</xdr:col>
      <xdr:colOff>542925</xdr:colOff>
      <xdr:row>4</xdr:row>
      <xdr:rowOff>142875</xdr:rowOff>
    </xdr:to>
    <xdr:pic>
      <xdr:nvPicPr>
        <xdr:cNvPr id="2670" name="Picture 1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0"/>
          <a:ext cx="295275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333375</xdr:colOff>
      <xdr:row>0</xdr:row>
      <xdr:rowOff>0</xdr:rowOff>
    </xdr:from>
    <xdr:to>
      <xdr:col>7</xdr:col>
      <xdr:colOff>542925</xdr:colOff>
      <xdr:row>4</xdr:row>
      <xdr:rowOff>142875</xdr:rowOff>
    </xdr:to>
    <xdr:pic>
      <xdr:nvPicPr>
        <xdr:cNvPr id="2671" name="Picture 1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95325" y="0"/>
          <a:ext cx="295275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76200</xdr:rowOff>
    </xdr:from>
    <xdr:to>
      <xdr:col>7</xdr:col>
      <xdr:colOff>285750</xdr:colOff>
      <xdr:row>5</xdr:row>
      <xdr:rowOff>57150</xdr:rowOff>
    </xdr:to>
    <xdr:pic>
      <xdr:nvPicPr>
        <xdr:cNvPr id="6461" name="Picture 1">
          <a:extLst>
            <a:ext uri="{FF2B5EF4-FFF2-40B4-BE49-F238E27FC236}">
              <a16:creationId xmlns:a16="http://schemas.microsoft.com/office/drawing/2014/main" id="{00000000-0008-0000-01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76200"/>
          <a:ext cx="295275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4234</xdr:rowOff>
    </xdr:from>
    <xdr:to>
      <xdr:col>0</xdr:col>
      <xdr:colOff>0</xdr:colOff>
      <xdr:row>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B4622E-4B66-4FE2-81C0-90FD053D29AF}"/>
            </a:ext>
            <a:ext uri="{147F2762-F138-4A5C-976F-8EAC2B608ADB}">
              <a16:predDERef xmlns:a16="http://schemas.microsoft.com/office/drawing/2014/main" pre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6725"/>
          <a:ext cx="0" cy="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BC6EE48-4DEF-4190-9245-C965AB5C6060}">
    <nsvFilter filterId="{00000000-0001-0000-0600-000000000000}" ref="A1:O44" tableId="0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57" totalsRowShown="0">
  <autoFilter ref="A1:K57" xr:uid="{00000000-0009-0000-0100-000001000000}"/>
  <tableColumns count="11">
    <tableColumn id="1" xr3:uid="{00000000-0010-0000-0000-000001000000}" name="C" dataDxfId="0"/>
    <tableColumn id="2" xr3:uid="{00000000-0010-0000-0000-000002000000}" name="MÊS"/>
    <tableColumn id="3" xr3:uid="{00000000-0010-0000-0000-000003000000}" name="Carga"/>
    <tableColumn id="4" xr3:uid="{00000000-0010-0000-0000-000004000000}" name="VIAGEM"/>
    <tableColumn id="5" xr3:uid="{00000000-0010-0000-0000-000005000000}" name="EMPRESA"/>
    <tableColumn id="6" xr3:uid="{00000000-0010-0000-0000-000006000000}" name="TIPO"/>
    <tableColumn id="7" xr3:uid="{00000000-0010-0000-0000-000007000000}" name="PLACA"/>
    <tableColumn id="8" xr3:uid="{00000000-0010-0000-0000-000008000000}" name="NOTA F."/>
    <tableColumn id="9" xr3:uid="{00000000-0010-0000-0000-000009000000}" name="QTD"/>
    <tableColumn id="10" xr3:uid="{00000000-0010-0000-0000-00000A000000}" name="FROTA"/>
    <tableColumn id="11" xr3:uid="{00000000-0010-0000-0000-00000B000000}" name="PES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22"/>
  <sheetViews>
    <sheetView view="pageBreakPreview" topLeftCell="B4" zoomScale="75" zoomScaleNormal="75" zoomScaleSheetLayoutView="75" workbookViewId="0">
      <selection activeCell="G13" sqref="G13"/>
    </sheetView>
  </sheetViews>
  <sheetFormatPr defaultRowHeight="12.75" x14ac:dyDescent="0.2"/>
  <cols>
    <col min="1" max="1" width="7.28515625" hidden="1" customWidth="1"/>
    <col min="2" max="2" width="5.42578125" customWidth="1"/>
    <col min="3" max="3" width="13.7109375" customWidth="1"/>
    <col min="4" max="4" width="7.28515625" hidden="1" customWidth="1"/>
    <col min="5" max="5" width="13.7109375" customWidth="1"/>
    <col min="6" max="6" width="7" hidden="1" customWidth="1"/>
    <col min="7" max="11" width="13.7109375" customWidth="1"/>
    <col min="12" max="12" width="7.5703125" customWidth="1"/>
    <col min="13" max="13" width="6.28515625" customWidth="1"/>
    <col min="14" max="14" width="9.28515625" customWidth="1"/>
  </cols>
  <sheetData>
    <row r="1" spans="1:14" ht="13.5" thickTop="1" x14ac:dyDescent="0.2">
      <c r="C1" s="1"/>
      <c r="D1" s="2"/>
      <c r="E1" s="2"/>
      <c r="F1" s="2"/>
      <c r="G1" s="2"/>
      <c r="H1" s="2"/>
      <c r="I1" s="2"/>
      <c r="J1" s="2"/>
      <c r="K1" s="2"/>
      <c r="L1" s="3"/>
      <c r="M1" s="4"/>
    </row>
    <row r="2" spans="1:14" ht="12.75" customHeight="1" x14ac:dyDescent="0.2">
      <c r="C2" s="5"/>
      <c r="D2" s="4"/>
      <c r="E2" s="4"/>
      <c r="F2" s="4"/>
      <c r="G2" s="4"/>
      <c r="H2" s="116" t="s">
        <v>0</v>
      </c>
      <c r="I2" s="117"/>
      <c r="J2" s="117"/>
      <c r="K2" s="117"/>
      <c r="L2" s="6"/>
      <c r="M2" s="4"/>
    </row>
    <row r="3" spans="1:14" ht="12.75" customHeight="1" x14ac:dyDescent="0.2">
      <c r="C3" s="5"/>
      <c r="D3" s="4"/>
      <c r="E3" s="4"/>
      <c r="F3" s="4"/>
      <c r="G3" s="4"/>
      <c r="H3" s="117"/>
      <c r="I3" s="117"/>
      <c r="J3" s="117"/>
      <c r="K3" s="117"/>
      <c r="L3" s="7"/>
      <c r="M3" s="4"/>
    </row>
    <row r="4" spans="1:14" x14ac:dyDescent="0.2">
      <c r="C4" s="5"/>
      <c r="D4" s="4"/>
      <c r="E4" s="4"/>
      <c r="F4" s="4"/>
      <c r="G4" s="4"/>
      <c r="H4" s="4"/>
      <c r="I4" s="8"/>
      <c r="J4" s="8"/>
      <c r="K4" s="9"/>
      <c r="L4" s="10"/>
      <c r="M4" s="4"/>
    </row>
    <row r="5" spans="1:14" x14ac:dyDescent="0.2">
      <c r="C5" s="5"/>
      <c r="D5" s="4"/>
      <c r="E5" s="4"/>
      <c r="F5" s="4"/>
      <c r="G5" s="4"/>
      <c r="H5" s="4"/>
      <c r="I5" s="11"/>
      <c r="J5" s="11"/>
      <c r="K5" s="4"/>
      <c r="L5" s="6"/>
      <c r="M5" s="4"/>
    </row>
    <row r="6" spans="1:14" ht="13.5" thickBot="1" x14ac:dyDescent="0.25">
      <c r="C6" s="12"/>
      <c r="D6" s="13"/>
      <c r="E6" s="13"/>
      <c r="F6" s="13"/>
      <c r="G6" s="13"/>
      <c r="H6" s="13"/>
      <c r="I6" s="14"/>
      <c r="J6" s="118"/>
      <c r="K6" s="118"/>
      <c r="L6" s="15"/>
      <c r="M6" s="4"/>
    </row>
    <row r="7" spans="1:14" ht="13.5" thickTop="1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ht="15" x14ac:dyDescent="0.2">
      <c r="A8" s="16">
        <f>SUM(A10:A18)</f>
        <v>0</v>
      </c>
      <c r="C8" s="17"/>
      <c r="D8" s="16">
        <f>SUM(D10:D18)</f>
        <v>0</v>
      </c>
      <c r="E8" s="31">
        <f>A8+D8+F8</f>
        <v>23.184000000000001</v>
      </c>
      <c r="F8" s="16">
        <f>SUM(F10:F18)</f>
        <v>23.184000000000001</v>
      </c>
      <c r="G8" s="17"/>
      <c r="H8" s="19" t="s">
        <v>1</v>
      </c>
      <c r="I8" s="28" t="s">
        <v>2</v>
      </c>
      <c r="J8" s="29">
        <f>M10+M14</f>
        <v>23.184000000000001</v>
      </c>
      <c r="K8" s="17"/>
      <c r="L8" s="17"/>
      <c r="M8" s="4"/>
    </row>
    <row r="9" spans="1:14" ht="28.5" thickBot="1" x14ac:dyDescent="0.25">
      <c r="B9" s="17"/>
      <c r="C9" s="20">
        <v>1</v>
      </c>
      <c r="D9" s="20"/>
      <c r="E9" s="21">
        <v>2</v>
      </c>
      <c r="F9" s="22"/>
      <c r="G9" s="20">
        <v>3</v>
      </c>
      <c r="H9" s="20">
        <v>4</v>
      </c>
      <c r="I9" s="20">
        <v>5</v>
      </c>
      <c r="J9" s="20">
        <v>6</v>
      </c>
      <c r="K9" s="20">
        <v>7</v>
      </c>
      <c r="L9" s="23"/>
      <c r="M9" s="4"/>
    </row>
    <row r="10" spans="1:14" ht="18.75" customHeight="1" thickBot="1" x14ac:dyDescent="0.25">
      <c r="A10" s="18">
        <f>IF(C10&gt;K10,C10-K10,C10-K10)</f>
        <v>0</v>
      </c>
      <c r="B10" s="113" t="s">
        <v>3</v>
      </c>
      <c r="C10" s="49"/>
      <c r="D10" s="50">
        <f>E10-J10</f>
        <v>0</v>
      </c>
      <c r="E10" s="51"/>
      <c r="F10" s="52">
        <f>G10-I10</f>
        <v>23.184000000000001</v>
      </c>
      <c r="G10" s="53">
        <v>23.184000000000001</v>
      </c>
      <c r="H10" s="54"/>
      <c r="I10" s="53"/>
      <c r="J10" s="51"/>
      <c r="K10" s="49"/>
      <c r="L10" s="24">
        <f>SUM(G10:K10)+E10+C10</f>
        <v>23.184000000000001</v>
      </c>
      <c r="M10" s="119">
        <f>SUM(L10:L13)</f>
        <v>23.184000000000001</v>
      </c>
    </row>
    <row r="11" spans="1:14" ht="105" customHeight="1" thickBot="1" x14ac:dyDescent="0.25">
      <c r="A11" s="18"/>
      <c r="B11" s="113"/>
      <c r="C11" s="48"/>
      <c r="D11" s="43"/>
      <c r="E11" s="38"/>
      <c r="F11" s="46"/>
      <c r="G11" s="39" t="s">
        <v>4</v>
      </c>
      <c r="H11" s="40"/>
      <c r="I11" s="39"/>
      <c r="J11" s="38"/>
      <c r="K11" s="37"/>
      <c r="L11" s="24"/>
      <c r="M11" s="119"/>
      <c r="N11" s="25"/>
    </row>
    <row r="12" spans="1:14" ht="18.75" customHeight="1" thickBot="1" x14ac:dyDescent="0.25">
      <c r="A12" s="18">
        <f>IF(C12&gt;K12,C12-K12,C12-K12)</f>
        <v>0</v>
      </c>
      <c r="B12" s="113" t="s">
        <v>5</v>
      </c>
      <c r="C12" s="49"/>
      <c r="D12" s="50">
        <f>E12-J12</f>
        <v>0</v>
      </c>
      <c r="E12" s="51"/>
      <c r="F12" s="52">
        <f>G12-I12</f>
        <v>0</v>
      </c>
      <c r="G12" s="53"/>
      <c r="H12" s="54"/>
      <c r="I12" s="53"/>
      <c r="J12" s="51"/>
      <c r="K12" s="49"/>
      <c r="L12" s="24">
        <f>SUM(G12:K12)+E12+C12</f>
        <v>0</v>
      </c>
      <c r="M12" s="119"/>
      <c r="N12" s="25"/>
    </row>
    <row r="13" spans="1:14" ht="105" customHeight="1" thickBot="1" x14ac:dyDescent="0.25">
      <c r="A13" s="18"/>
      <c r="B13" s="113"/>
      <c r="C13" s="48"/>
      <c r="D13" s="43"/>
      <c r="E13" s="38"/>
      <c r="F13" s="46"/>
      <c r="G13" s="39"/>
      <c r="H13" s="40"/>
      <c r="I13" s="39"/>
      <c r="J13" s="38"/>
      <c r="K13" s="48"/>
      <c r="L13" s="24"/>
      <c r="M13" s="119"/>
      <c r="N13" s="25"/>
    </row>
    <row r="14" spans="1:14" ht="18.75" customHeight="1" thickBot="1" x14ac:dyDescent="0.25">
      <c r="A14" s="18">
        <f>IF(C14&gt;K14,C14-K14,C14-K14)</f>
        <v>0</v>
      </c>
      <c r="B14" s="113" t="s">
        <v>6</v>
      </c>
      <c r="C14" s="49"/>
      <c r="D14" s="50">
        <f>E14-J14</f>
        <v>0</v>
      </c>
      <c r="E14" s="51"/>
      <c r="F14" s="52">
        <f>G14-I14</f>
        <v>0</v>
      </c>
      <c r="G14" s="53"/>
      <c r="H14" s="54"/>
      <c r="I14" s="53"/>
      <c r="J14" s="51"/>
      <c r="K14" s="49"/>
      <c r="L14" s="24">
        <f>(SUM(G14:K14)+E14+C14)</f>
        <v>0</v>
      </c>
      <c r="M14" s="114">
        <f>SUM(L14:L19)</f>
        <v>0</v>
      </c>
      <c r="N14" s="25"/>
    </row>
    <row r="15" spans="1:14" ht="111" customHeight="1" thickBot="1" x14ac:dyDescent="0.25">
      <c r="A15" s="18"/>
      <c r="B15" s="113"/>
      <c r="C15" s="48"/>
      <c r="D15" s="43"/>
      <c r="E15" s="38"/>
      <c r="F15" s="46"/>
      <c r="G15" s="39"/>
      <c r="H15" s="40"/>
      <c r="I15" s="39"/>
      <c r="J15" s="38"/>
      <c r="K15" s="48"/>
      <c r="L15" s="24"/>
      <c r="M15" s="114"/>
      <c r="N15" s="25"/>
    </row>
    <row r="16" spans="1:14" ht="18.75" customHeight="1" thickBot="1" x14ac:dyDescent="0.25">
      <c r="A16" s="18">
        <f>IF(C16&gt;K16,C16-K16,C16-K16)</f>
        <v>0</v>
      </c>
      <c r="B16" s="113" t="s">
        <v>7</v>
      </c>
      <c r="C16" s="49"/>
      <c r="D16" s="50">
        <f>E16-J16</f>
        <v>0</v>
      </c>
      <c r="E16" s="51"/>
      <c r="F16" s="52"/>
      <c r="G16" s="53"/>
      <c r="H16" s="54"/>
      <c r="I16" s="53"/>
      <c r="J16" s="51"/>
      <c r="K16" s="49"/>
      <c r="L16" s="24">
        <f>SUM(G16:K16)+E16+C16</f>
        <v>0</v>
      </c>
      <c r="M16" s="114"/>
      <c r="N16" s="102"/>
    </row>
    <row r="17" spans="1:14" ht="60.75" customHeight="1" thickBot="1" x14ac:dyDescent="0.25">
      <c r="A17" s="18"/>
      <c r="B17" s="113"/>
      <c r="C17" s="37"/>
      <c r="D17" s="43"/>
      <c r="E17" s="38"/>
      <c r="F17" s="46"/>
      <c r="G17" s="39"/>
      <c r="H17" s="40"/>
      <c r="I17" s="39"/>
      <c r="J17" s="38"/>
      <c r="K17" s="37"/>
      <c r="L17" s="26"/>
      <c r="M17" s="114"/>
      <c r="N17" s="102"/>
    </row>
    <row r="18" spans="1:14" ht="18.75" customHeight="1" thickBot="1" x14ac:dyDescent="0.25">
      <c r="A18" s="18">
        <f>IF(C18&gt;K18,C18-K18,C18-K18)</f>
        <v>0</v>
      </c>
      <c r="B18" s="115" t="s">
        <v>8</v>
      </c>
      <c r="C18" s="49"/>
      <c r="D18" s="50">
        <f>E18-J18</f>
        <v>0</v>
      </c>
      <c r="E18" s="51"/>
      <c r="F18" s="52">
        <f>G18-I18</f>
        <v>0</v>
      </c>
      <c r="G18" s="53"/>
      <c r="H18" s="54"/>
      <c r="I18" s="53"/>
      <c r="J18" s="51"/>
      <c r="K18" s="49"/>
      <c r="L18" s="24">
        <f>SUM(G18:K18)+E18+C18</f>
        <v>0</v>
      </c>
      <c r="M18" s="114"/>
      <c r="N18" s="25"/>
    </row>
    <row r="19" spans="1:14" ht="105" customHeight="1" thickBot="1" x14ac:dyDescent="0.25">
      <c r="B19" s="115"/>
      <c r="C19" s="37"/>
      <c r="D19" s="44"/>
      <c r="E19" s="38"/>
      <c r="F19" s="47"/>
      <c r="G19" s="39"/>
      <c r="H19" s="40"/>
      <c r="I19" s="39"/>
      <c r="J19" s="38"/>
      <c r="K19" s="37"/>
      <c r="L19" s="27"/>
      <c r="M19" s="114"/>
    </row>
    <row r="20" spans="1:14" x14ac:dyDescent="0.2">
      <c r="B20" s="17"/>
      <c r="C20" s="17"/>
      <c r="D20" s="17"/>
      <c r="E20" s="17"/>
      <c r="F20" s="17"/>
      <c r="G20" s="17"/>
      <c r="I20" s="17"/>
      <c r="J20" s="17"/>
      <c r="K20" s="17"/>
      <c r="L20" s="27"/>
    </row>
    <row r="21" spans="1:14" ht="15" x14ac:dyDescent="0.2">
      <c r="B21" s="17"/>
      <c r="C21" s="17"/>
      <c r="D21" s="17"/>
      <c r="E21" s="17"/>
      <c r="F21" s="17"/>
      <c r="G21" s="17"/>
      <c r="H21" s="30">
        <f>M14-M10</f>
        <v>-23.184000000000001</v>
      </c>
      <c r="I21" s="17"/>
      <c r="J21" s="17"/>
      <c r="K21" s="17"/>
      <c r="L21" s="27"/>
    </row>
    <row r="22" spans="1:14" x14ac:dyDescent="0.2">
      <c r="B22" s="17"/>
      <c r="C22" s="17"/>
      <c r="D22" s="17"/>
      <c r="E22" s="17"/>
      <c r="F22" s="17"/>
      <c r="G22" s="17"/>
      <c r="H22" s="23" t="s">
        <v>9</v>
      </c>
      <c r="I22" s="17"/>
      <c r="J22" s="17"/>
      <c r="K22" s="17"/>
      <c r="L22" s="17"/>
    </row>
  </sheetData>
  <sheetProtection sheet="1" formatCells="0" formatColumns="0" formatRows="0" insertColumns="0" insertRows="0" insertHyperlinks="0" deleteColumns="0" deleteRows="0" sort="0" autoFilter="0" pivotTables="0"/>
  <mergeCells count="9">
    <mergeCell ref="B14:B15"/>
    <mergeCell ref="M14:M19"/>
    <mergeCell ref="B16:B17"/>
    <mergeCell ref="B18:B19"/>
    <mergeCell ref="H2:K3"/>
    <mergeCell ref="J6:K6"/>
    <mergeCell ref="B10:B11"/>
    <mergeCell ref="M10:M13"/>
    <mergeCell ref="B12:B13"/>
  </mergeCells>
  <phoneticPr fontId="15" type="noConversion"/>
  <printOptions horizontalCentered="1"/>
  <pageMargins left="0.23622047244094491" right="0.15748031496062992" top="0.98425196850393704" bottom="0.98425196850393704" header="0.51181102362204722" footer="0.51181102362204722"/>
  <pageSetup paperSize="9" scale="85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M22"/>
  <sheetViews>
    <sheetView view="pageBreakPreview" topLeftCell="B1" zoomScale="75" zoomScaleNormal="75" workbookViewId="0">
      <selection activeCell="C10" sqref="C10"/>
    </sheetView>
  </sheetViews>
  <sheetFormatPr defaultRowHeight="12.75" x14ac:dyDescent="0.2"/>
  <cols>
    <col min="1" max="1" width="7.28515625" hidden="1" customWidth="1"/>
    <col min="2" max="2" width="5.42578125" customWidth="1"/>
    <col min="3" max="3" width="13.7109375" customWidth="1"/>
    <col min="4" max="4" width="7.28515625" hidden="1" customWidth="1"/>
    <col min="5" max="5" width="13.7109375" customWidth="1"/>
    <col min="6" max="6" width="7" hidden="1" customWidth="1"/>
    <col min="7" max="11" width="13.7109375" customWidth="1"/>
    <col min="12" max="12" width="7.5703125" customWidth="1"/>
    <col min="13" max="13" width="6.28515625" customWidth="1"/>
    <col min="14" max="14" width="9.28515625" customWidth="1"/>
  </cols>
  <sheetData>
    <row r="1" spans="1:13" ht="13.5" thickTop="1" x14ac:dyDescent="0.2">
      <c r="C1" s="1"/>
      <c r="D1" s="2"/>
      <c r="E1" s="2"/>
      <c r="F1" s="2"/>
      <c r="G1" s="2"/>
      <c r="H1" s="2"/>
      <c r="I1" s="2"/>
      <c r="J1" s="2"/>
      <c r="K1" s="2"/>
      <c r="L1" s="3"/>
      <c r="M1" s="4"/>
    </row>
    <row r="2" spans="1:13" ht="12.75" customHeight="1" x14ac:dyDescent="0.2">
      <c r="C2" s="5"/>
      <c r="D2" s="4"/>
      <c r="E2" s="4"/>
      <c r="F2" s="4"/>
      <c r="G2" s="4"/>
      <c r="H2" s="116" t="s">
        <v>0</v>
      </c>
      <c r="I2" s="117"/>
      <c r="J2" s="117"/>
      <c r="K2" s="117"/>
      <c r="L2" s="6"/>
      <c r="M2" s="4"/>
    </row>
    <row r="3" spans="1:13" ht="12.75" customHeight="1" x14ac:dyDescent="0.2">
      <c r="C3" s="5"/>
      <c r="D3" s="4"/>
      <c r="E3" s="4"/>
      <c r="F3" s="4"/>
      <c r="G3" s="4"/>
      <c r="H3" s="117"/>
      <c r="I3" s="117"/>
      <c r="J3" s="117"/>
      <c r="K3" s="117"/>
      <c r="L3" s="7"/>
      <c r="M3" s="4"/>
    </row>
    <row r="4" spans="1:13" x14ac:dyDescent="0.2">
      <c r="C4" s="5"/>
      <c r="D4" s="4"/>
      <c r="E4" s="4"/>
      <c r="F4" s="4"/>
      <c r="G4" s="4"/>
      <c r="H4" s="4"/>
      <c r="I4" s="8" t="s">
        <v>10</v>
      </c>
      <c r="J4" s="8" t="s">
        <v>11</v>
      </c>
      <c r="K4" s="9"/>
      <c r="L4" s="10"/>
      <c r="M4" s="4"/>
    </row>
    <row r="5" spans="1:13" x14ac:dyDescent="0.2">
      <c r="C5" s="5"/>
      <c r="D5" s="4"/>
      <c r="E5" s="4"/>
      <c r="F5" s="4"/>
      <c r="G5" s="4"/>
      <c r="H5" s="4"/>
      <c r="I5" s="11" t="s">
        <v>12</v>
      </c>
      <c r="J5" s="11" t="s">
        <v>13</v>
      </c>
      <c r="K5" s="4"/>
      <c r="L5" s="6"/>
      <c r="M5" s="4"/>
    </row>
    <row r="6" spans="1:13" ht="13.5" thickBot="1" x14ac:dyDescent="0.25">
      <c r="C6" s="12"/>
      <c r="D6" s="13"/>
      <c r="E6" s="13"/>
      <c r="F6" s="13"/>
      <c r="G6" s="13"/>
      <c r="H6" s="13"/>
      <c r="I6" s="14" t="s">
        <v>14</v>
      </c>
      <c r="J6" s="118">
        <v>40042</v>
      </c>
      <c r="K6" s="118"/>
      <c r="L6" s="15"/>
      <c r="M6" s="4"/>
    </row>
    <row r="7" spans="1:13" ht="13.5" thickTop="1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5" x14ac:dyDescent="0.2">
      <c r="A8" s="16">
        <f>SUM(A10:A18)</f>
        <v>0</v>
      </c>
      <c r="C8" s="17"/>
      <c r="D8" s="16">
        <f>SUM(D10:D18)</f>
        <v>0</v>
      </c>
      <c r="E8" s="31">
        <f>A8+D8+F8</f>
        <v>0</v>
      </c>
      <c r="F8" s="16">
        <f>SUM(F10:F18)</f>
        <v>0</v>
      </c>
      <c r="G8" s="17"/>
      <c r="H8" s="19" t="s">
        <v>1</v>
      </c>
      <c r="I8" s="28" t="s">
        <v>2</v>
      </c>
      <c r="J8" s="29">
        <f>M10+M14</f>
        <v>0</v>
      </c>
      <c r="K8" s="17"/>
      <c r="L8" s="17"/>
      <c r="M8" s="4"/>
    </row>
    <row r="9" spans="1:13" ht="28.5" thickBot="1" x14ac:dyDescent="0.25">
      <c r="B9" s="17"/>
      <c r="C9" s="20">
        <v>1</v>
      </c>
      <c r="D9" s="20"/>
      <c r="E9" s="21">
        <v>2</v>
      </c>
      <c r="F9" s="22"/>
      <c r="G9" s="20">
        <v>3</v>
      </c>
      <c r="H9" s="20">
        <v>4</v>
      </c>
      <c r="I9" s="20">
        <v>5</v>
      </c>
      <c r="J9" s="20">
        <v>6</v>
      </c>
      <c r="K9" s="20">
        <v>7</v>
      </c>
      <c r="L9" s="23"/>
      <c r="M9" s="4"/>
    </row>
    <row r="10" spans="1:13" ht="18.75" customHeight="1" x14ac:dyDescent="0.2">
      <c r="A10" s="18">
        <f>IF(C10&gt;K10,C10-K10,C10-K10)</f>
        <v>0</v>
      </c>
      <c r="B10" s="113" t="s">
        <v>3</v>
      </c>
      <c r="C10" s="33"/>
      <c r="D10" s="42">
        <f>E10-J10</f>
        <v>0</v>
      </c>
      <c r="E10" s="34"/>
      <c r="F10" s="45">
        <f>G10-I10</f>
        <v>0</v>
      </c>
      <c r="G10" s="35"/>
      <c r="H10" s="36"/>
      <c r="I10" s="35"/>
      <c r="J10" s="34"/>
      <c r="K10" s="33"/>
      <c r="L10" s="24">
        <f>SUM(G10:K10)+E10+C10</f>
        <v>0</v>
      </c>
      <c r="M10" s="119">
        <f>SUM(L10:L13)</f>
        <v>0</v>
      </c>
    </row>
    <row r="11" spans="1:13" ht="105" customHeight="1" thickBot="1" x14ac:dyDescent="0.25">
      <c r="A11" s="18"/>
      <c r="B11" s="113"/>
      <c r="C11" s="37"/>
      <c r="D11" s="43"/>
      <c r="E11" s="38"/>
      <c r="F11" s="46"/>
      <c r="G11" s="39"/>
      <c r="H11" s="40"/>
      <c r="I11" s="39"/>
      <c r="J11" s="38"/>
      <c r="K11" s="37"/>
      <c r="L11" s="24"/>
      <c r="M11" s="119"/>
    </row>
    <row r="12" spans="1:13" ht="18.75" customHeight="1" x14ac:dyDescent="0.2">
      <c r="A12" s="18">
        <f>IF(C12&gt;K12,C12-K12,C12-K12)</f>
        <v>0</v>
      </c>
      <c r="B12" s="113" t="s">
        <v>5</v>
      </c>
      <c r="C12" s="33"/>
      <c r="D12" s="42">
        <f>E12-J12</f>
        <v>0</v>
      </c>
      <c r="E12" s="34"/>
      <c r="F12" s="45">
        <f>G12-I12</f>
        <v>0</v>
      </c>
      <c r="G12" s="35"/>
      <c r="H12" s="41"/>
      <c r="I12" s="35"/>
      <c r="J12" s="34"/>
      <c r="K12" s="33"/>
      <c r="L12" s="24">
        <f>SUM(G12:K12)+E12+C12</f>
        <v>0</v>
      </c>
      <c r="M12" s="119"/>
    </row>
    <row r="13" spans="1:13" ht="105" customHeight="1" thickBot="1" x14ac:dyDescent="0.25">
      <c r="A13" s="18"/>
      <c r="B13" s="113"/>
      <c r="C13" s="37"/>
      <c r="D13" s="43"/>
      <c r="E13" s="38"/>
      <c r="F13" s="46"/>
      <c r="G13" s="39"/>
      <c r="H13" s="40"/>
      <c r="I13" s="39"/>
      <c r="J13" s="38"/>
      <c r="K13" s="37"/>
      <c r="L13" s="24"/>
      <c r="M13" s="119"/>
    </row>
    <row r="14" spans="1:13" ht="18.75" customHeight="1" x14ac:dyDescent="0.2">
      <c r="A14" s="18">
        <f>IF(C14&gt;K14,C14-K14,C14-K14)</f>
        <v>0</v>
      </c>
      <c r="B14" s="113" t="s">
        <v>6</v>
      </c>
      <c r="C14" s="33"/>
      <c r="D14" s="42">
        <f>E14-J14</f>
        <v>0</v>
      </c>
      <c r="E14" s="34"/>
      <c r="F14" s="45">
        <f>G14-I14</f>
        <v>0</v>
      </c>
      <c r="G14" s="35"/>
      <c r="H14" s="41"/>
      <c r="I14" s="35"/>
      <c r="J14" s="34"/>
      <c r="K14" s="33"/>
      <c r="L14" s="24">
        <f>(SUM(G14:K14)+E14+C14)</f>
        <v>0</v>
      </c>
      <c r="M14" s="114">
        <f>SUM(L14:L19)</f>
        <v>0</v>
      </c>
    </row>
    <row r="15" spans="1:13" ht="105" customHeight="1" thickBot="1" x14ac:dyDescent="0.25">
      <c r="A15" s="18"/>
      <c r="B15" s="113"/>
      <c r="C15" s="37"/>
      <c r="D15" s="43"/>
      <c r="E15" s="38"/>
      <c r="F15" s="46"/>
      <c r="G15" s="39"/>
      <c r="H15" s="40"/>
      <c r="I15" s="39"/>
      <c r="J15" s="38"/>
      <c r="K15" s="37"/>
      <c r="L15" s="24"/>
      <c r="M15" s="114"/>
    </row>
    <row r="16" spans="1:13" ht="18.75" customHeight="1" x14ac:dyDescent="0.2">
      <c r="A16" s="18">
        <f>IF(C16&gt;K16,C16-K16,C16-K16)</f>
        <v>0</v>
      </c>
      <c r="B16" s="113" t="s">
        <v>7</v>
      </c>
      <c r="C16" s="33"/>
      <c r="D16" s="42">
        <f>E16-J16</f>
        <v>0</v>
      </c>
      <c r="E16" s="34"/>
      <c r="F16" s="45">
        <f>G16-I16</f>
        <v>0</v>
      </c>
      <c r="G16" s="35"/>
      <c r="H16" s="41"/>
      <c r="I16" s="35"/>
      <c r="J16" s="34"/>
      <c r="K16" s="33"/>
      <c r="L16" s="24">
        <f>SUM(G16:K16)+E16+C16</f>
        <v>0</v>
      </c>
      <c r="M16" s="114"/>
    </row>
    <row r="17" spans="1:13" ht="60.75" customHeight="1" thickBot="1" x14ac:dyDescent="0.25">
      <c r="A17" s="18"/>
      <c r="B17" s="113"/>
      <c r="C17" s="37"/>
      <c r="D17" s="43"/>
      <c r="E17" s="38"/>
      <c r="F17" s="47"/>
      <c r="G17" s="39"/>
      <c r="H17" s="40"/>
      <c r="I17" s="39"/>
      <c r="J17" s="38"/>
      <c r="K17" s="37"/>
      <c r="L17" s="26"/>
      <c r="M17" s="114"/>
    </row>
    <row r="18" spans="1:13" ht="18.75" customHeight="1" x14ac:dyDescent="0.2">
      <c r="A18" s="18">
        <f>IF(C18&gt;K18,C18-K18,C18-K18)</f>
        <v>0</v>
      </c>
      <c r="B18" s="115" t="s">
        <v>8</v>
      </c>
      <c r="C18" s="33"/>
      <c r="D18" s="42">
        <f>E18-J18</f>
        <v>0</v>
      </c>
      <c r="E18" s="34"/>
      <c r="F18" s="45">
        <f>G18-I18</f>
        <v>0</v>
      </c>
      <c r="G18" s="35"/>
      <c r="H18" s="41"/>
      <c r="I18" s="35"/>
      <c r="J18" s="34"/>
      <c r="K18" s="33"/>
      <c r="L18" s="24">
        <f>SUM(G18:K18)+E18+C18</f>
        <v>0</v>
      </c>
      <c r="M18" s="114"/>
    </row>
    <row r="19" spans="1:13" ht="105" customHeight="1" thickBot="1" x14ac:dyDescent="0.25">
      <c r="B19" s="115"/>
      <c r="C19" s="37"/>
      <c r="D19" s="44"/>
      <c r="E19" s="38"/>
      <c r="F19" s="47"/>
      <c r="G19" s="39"/>
      <c r="H19" s="40"/>
      <c r="I19" s="39"/>
      <c r="J19" s="38"/>
      <c r="K19" s="37"/>
      <c r="L19" s="27"/>
      <c r="M19" s="114"/>
    </row>
    <row r="20" spans="1:13" x14ac:dyDescent="0.2">
      <c r="B20" s="17"/>
      <c r="C20" s="17"/>
      <c r="D20" s="17"/>
      <c r="E20" s="17"/>
      <c r="F20" s="17"/>
      <c r="G20" s="17"/>
      <c r="I20" s="17"/>
      <c r="J20" s="17"/>
      <c r="K20" s="17"/>
      <c r="L20" s="27"/>
    </row>
    <row r="21" spans="1:13" ht="15" x14ac:dyDescent="0.2">
      <c r="B21" s="17"/>
      <c r="C21" s="17"/>
      <c r="D21" s="17"/>
      <c r="E21" s="17"/>
      <c r="F21" s="17"/>
      <c r="G21" s="17"/>
      <c r="H21" s="30">
        <f>M14-M10</f>
        <v>0</v>
      </c>
      <c r="I21" s="17"/>
      <c r="J21" s="17"/>
      <c r="K21" s="17"/>
      <c r="L21" s="27"/>
    </row>
    <row r="22" spans="1:13" x14ac:dyDescent="0.2">
      <c r="B22" s="17"/>
      <c r="C22" s="17"/>
      <c r="D22" s="17"/>
      <c r="E22" s="17"/>
      <c r="F22" s="17"/>
      <c r="G22" s="17"/>
      <c r="H22" s="23" t="s">
        <v>9</v>
      </c>
      <c r="I22" s="17"/>
      <c r="J22" s="17"/>
      <c r="K22" s="17"/>
      <c r="L22" s="17"/>
    </row>
  </sheetData>
  <mergeCells count="9">
    <mergeCell ref="B14:B15"/>
    <mergeCell ref="M14:M19"/>
    <mergeCell ref="B16:B17"/>
    <mergeCell ref="B18:B19"/>
    <mergeCell ref="H2:K3"/>
    <mergeCell ref="J6:K6"/>
    <mergeCell ref="B10:B11"/>
    <mergeCell ref="M10:M13"/>
    <mergeCell ref="B12:B13"/>
  </mergeCells>
  <phoneticPr fontId="15" type="noConversion"/>
  <printOptions horizontalCentered="1"/>
  <pageMargins left="0.23622047244094491" right="0.15748031496062992" top="0.98425196850393704" bottom="0.98425196850393704" header="0.51181102362204722" footer="0.51181102362204722"/>
  <pageSetup paperSize="9" scale="85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K57"/>
  <sheetViews>
    <sheetView workbookViewId="0">
      <selection activeCell="L6" sqref="L6"/>
    </sheetView>
  </sheetViews>
  <sheetFormatPr defaultRowHeight="12.75" x14ac:dyDescent="0.2"/>
  <cols>
    <col min="4" max="4" width="10.42578125" customWidth="1"/>
    <col min="5" max="5" width="12.140625" customWidth="1"/>
    <col min="7" max="7" width="9.42578125" customWidth="1"/>
    <col min="8" max="8" width="10.5703125" customWidth="1"/>
    <col min="10" max="10" width="9.42578125" customWidth="1"/>
  </cols>
  <sheetData>
    <row r="1" spans="1:11" x14ac:dyDescent="0.2">
      <c r="A1" t="s">
        <v>6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">
      <c r="A2" s="55">
        <v>42935</v>
      </c>
      <c r="B2">
        <v>7</v>
      </c>
      <c r="C2">
        <v>1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18242</v>
      </c>
    </row>
    <row r="3" spans="1:11" x14ac:dyDescent="0.2">
      <c r="A3" t="s">
        <v>32</v>
      </c>
      <c r="E3" t="s">
        <v>33</v>
      </c>
      <c r="H3" t="s">
        <v>34</v>
      </c>
    </row>
    <row r="4" spans="1:11" x14ac:dyDescent="0.2">
      <c r="A4" t="s">
        <v>35</v>
      </c>
      <c r="G4">
        <v>25</v>
      </c>
    </row>
    <row r="5" spans="1:11" x14ac:dyDescent="0.2">
      <c r="A5" t="s">
        <v>36</v>
      </c>
      <c r="C5">
        <v>0</v>
      </c>
      <c r="D5">
        <v>0</v>
      </c>
      <c r="E5">
        <v>0</v>
      </c>
      <c r="F5">
        <v>0</v>
      </c>
      <c r="G5">
        <v>0</v>
      </c>
    </row>
    <row r="6" spans="1:11" x14ac:dyDescent="0.2">
      <c r="A6" t="s">
        <v>37</v>
      </c>
      <c r="C6">
        <v>0</v>
      </c>
      <c r="D6">
        <v>0</v>
      </c>
      <c r="E6">
        <v>4</v>
      </c>
      <c r="F6">
        <v>0</v>
      </c>
      <c r="G6">
        <v>0</v>
      </c>
    </row>
    <row r="7" spans="1:11" x14ac:dyDescent="0.2">
      <c r="A7" t="s">
        <v>38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2">
      <c r="A8" t="s">
        <v>39</v>
      </c>
      <c r="C8">
        <v>0</v>
      </c>
      <c r="D8">
        <v>0</v>
      </c>
      <c r="E8">
        <v>0</v>
      </c>
      <c r="F8">
        <v>0</v>
      </c>
      <c r="G8">
        <v>0</v>
      </c>
    </row>
    <row r="9" spans="1:11" x14ac:dyDescent="0.2">
      <c r="A9" t="s">
        <v>40</v>
      </c>
      <c r="C9">
        <v>0</v>
      </c>
      <c r="D9">
        <v>0</v>
      </c>
      <c r="E9">
        <v>0</v>
      </c>
      <c r="F9">
        <v>0</v>
      </c>
      <c r="G9">
        <v>0</v>
      </c>
    </row>
    <row r="10" spans="1:11" x14ac:dyDescent="0.2">
      <c r="A10" t="s">
        <v>41</v>
      </c>
      <c r="C10">
        <v>0</v>
      </c>
      <c r="D10">
        <v>0</v>
      </c>
      <c r="E10">
        <v>2</v>
      </c>
      <c r="F10">
        <v>0</v>
      </c>
      <c r="G10">
        <v>0</v>
      </c>
    </row>
    <row r="11" spans="1:11" x14ac:dyDescent="0.2">
      <c r="A11" t="s">
        <v>42</v>
      </c>
      <c r="D11">
        <v>0</v>
      </c>
      <c r="E11">
        <v>0</v>
      </c>
      <c r="F11">
        <v>0</v>
      </c>
      <c r="G11">
        <v>0</v>
      </c>
    </row>
    <row r="12" spans="1:11" x14ac:dyDescent="0.2">
      <c r="A12" t="s">
        <v>43</v>
      </c>
      <c r="C12">
        <v>0</v>
      </c>
      <c r="D12">
        <v>0</v>
      </c>
      <c r="E12">
        <v>1</v>
      </c>
      <c r="F12">
        <v>0</v>
      </c>
      <c r="G12">
        <v>0</v>
      </c>
      <c r="H12" t="s">
        <v>44</v>
      </c>
      <c r="I12">
        <v>24</v>
      </c>
    </row>
    <row r="13" spans="1:11" x14ac:dyDescent="0.2">
      <c r="A13" t="s">
        <v>45</v>
      </c>
      <c r="C13">
        <v>0</v>
      </c>
      <c r="D13">
        <v>0</v>
      </c>
      <c r="E13">
        <v>5</v>
      </c>
      <c r="F13">
        <v>0</v>
      </c>
      <c r="G13">
        <v>0</v>
      </c>
      <c r="H13" t="s">
        <v>46</v>
      </c>
      <c r="I13">
        <v>1</v>
      </c>
    </row>
    <row r="14" spans="1:11" x14ac:dyDescent="0.2">
      <c r="A14" t="s">
        <v>47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37</v>
      </c>
      <c r="I14">
        <v>4</v>
      </c>
    </row>
    <row r="15" spans="1:11" x14ac:dyDescent="0.2">
      <c r="A15" t="s">
        <v>48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41</v>
      </c>
      <c r="I15">
        <v>2</v>
      </c>
    </row>
    <row r="16" spans="1:11" x14ac:dyDescent="0.2">
      <c r="A16" t="s">
        <v>49</v>
      </c>
      <c r="C16">
        <v>0</v>
      </c>
      <c r="D16">
        <v>0</v>
      </c>
      <c r="E16">
        <v>0</v>
      </c>
      <c r="F16">
        <v>0</v>
      </c>
      <c r="H16" t="s">
        <v>45</v>
      </c>
      <c r="I16">
        <v>5</v>
      </c>
    </row>
    <row r="17" spans="1:9" x14ac:dyDescent="0.2">
      <c r="A17" t="s">
        <v>50</v>
      </c>
      <c r="D17">
        <v>0</v>
      </c>
      <c r="E17">
        <v>0</v>
      </c>
      <c r="F17">
        <v>0</v>
      </c>
      <c r="H17" t="s">
        <v>51</v>
      </c>
      <c r="I17">
        <v>8</v>
      </c>
    </row>
    <row r="18" spans="1:9" x14ac:dyDescent="0.2">
      <c r="A18" t="s">
        <v>46</v>
      </c>
      <c r="C18">
        <v>0</v>
      </c>
      <c r="D18">
        <v>0</v>
      </c>
      <c r="E18">
        <v>1</v>
      </c>
      <c r="F18">
        <v>0</v>
      </c>
      <c r="G18">
        <v>0</v>
      </c>
      <c r="H18" t="s">
        <v>52</v>
      </c>
      <c r="I18">
        <v>1</v>
      </c>
    </row>
    <row r="19" spans="1:9" x14ac:dyDescent="0.2">
      <c r="A19" t="s">
        <v>53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54</v>
      </c>
    </row>
    <row r="20" spans="1:9" x14ac:dyDescent="0.2">
      <c r="A20" t="s">
        <v>55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31</v>
      </c>
      <c r="I20">
        <v>1</v>
      </c>
    </row>
    <row r="21" spans="1:9" x14ac:dyDescent="0.2">
      <c r="A21" t="s">
        <v>56</v>
      </c>
      <c r="C21">
        <v>0</v>
      </c>
      <c r="D21">
        <v>0</v>
      </c>
      <c r="E21">
        <v>3</v>
      </c>
      <c r="F21">
        <v>0</v>
      </c>
    </row>
    <row r="22" spans="1:9" x14ac:dyDescent="0.2">
      <c r="A22" s="55">
        <v>42935</v>
      </c>
      <c r="B22">
        <v>7</v>
      </c>
      <c r="C22">
        <v>37</v>
      </c>
      <c r="D22" t="s">
        <v>25</v>
      </c>
    </row>
    <row r="23" spans="1:9" x14ac:dyDescent="0.2">
      <c r="A23" s="55">
        <v>42935</v>
      </c>
      <c r="B23">
        <v>7</v>
      </c>
      <c r="C23">
        <v>36</v>
      </c>
      <c r="D23" t="s">
        <v>25</v>
      </c>
    </row>
    <row r="24" spans="1:9" x14ac:dyDescent="0.2">
      <c r="A24" s="55">
        <v>42935</v>
      </c>
      <c r="B24">
        <v>7</v>
      </c>
      <c r="C24">
        <v>35</v>
      </c>
      <c r="D24" t="s">
        <v>25</v>
      </c>
    </row>
    <row r="25" spans="1:9" x14ac:dyDescent="0.2">
      <c r="A25" s="55">
        <v>42935</v>
      </c>
      <c r="B25">
        <v>7</v>
      </c>
      <c r="C25">
        <v>34</v>
      </c>
      <c r="D25" t="s">
        <v>25</v>
      </c>
    </row>
    <row r="26" spans="1:9" x14ac:dyDescent="0.2">
      <c r="A26" s="55">
        <v>42935</v>
      </c>
      <c r="B26">
        <v>7</v>
      </c>
      <c r="C26">
        <v>33</v>
      </c>
      <c r="D26" t="s">
        <v>25</v>
      </c>
    </row>
    <row r="27" spans="1:9" x14ac:dyDescent="0.2">
      <c r="A27" s="55">
        <v>42935</v>
      </c>
      <c r="B27">
        <v>7</v>
      </c>
      <c r="C27">
        <v>32</v>
      </c>
      <c r="D27" t="s">
        <v>25</v>
      </c>
    </row>
    <row r="28" spans="1:9" x14ac:dyDescent="0.2">
      <c r="A28" s="55">
        <v>42935</v>
      </c>
      <c r="B28">
        <v>7</v>
      </c>
      <c r="C28">
        <v>31</v>
      </c>
      <c r="D28" t="s">
        <v>25</v>
      </c>
    </row>
    <row r="29" spans="1:9" x14ac:dyDescent="0.2">
      <c r="A29" s="55">
        <v>42935</v>
      </c>
      <c r="B29">
        <v>7</v>
      </c>
      <c r="C29">
        <v>30</v>
      </c>
      <c r="D29" t="s">
        <v>25</v>
      </c>
    </row>
    <row r="30" spans="1:9" x14ac:dyDescent="0.2">
      <c r="A30" s="55">
        <v>42935</v>
      </c>
      <c r="B30">
        <v>7</v>
      </c>
      <c r="C30">
        <v>29</v>
      </c>
      <c r="D30" t="s">
        <v>25</v>
      </c>
    </row>
    <row r="31" spans="1:9" x14ac:dyDescent="0.2">
      <c r="A31" s="55">
        <v>42935</v>
      </c>
      <c r="B31">
        <v>7</v>
      </c>
      <c r="C31">
        <v>28</v>
      </c>
      <c r="D31" t="s">
        <v>25</v>
      </c>
    </row>
    <row r="32" spans="1:9" x14ac:dyDescent="0.2">
      <c r="A32" s="55">
        <v>42935</v>
      </c>
      <c r="B32">
        <v>7</v>
      </c>
      <c r="C32">
        <v>27</v>
      </c>
      <c r="D32" t="s">
        <v>25</v>
      </c>
    </row>
    <row r="33" spans="1:11" x14ac:dyDescent="0.2">
      <c r="A33" s="55">
        <v>42935</v>
      </c>
      <c r="B33">
        <v>7</v>
      </c>
      <c r="C33">
        <v>26</v>
      </c>
      <c r="D33" t="s">
        <v>25</v>
      </c>
    </row>
    <row r="34" spans="1:11" x14ac:dyDescent="0.2">
      <c r="A34" s="55">
        <v>42935</v>
      </c>
      <c r="B34">
        <v>7</v>
      </c>
      <c r="C34">
        <v>2</v>
      </c>
      <c r="D34" t="s">
        <v>25</v>
      </c>
      <c r="E34" t="s">
        <v>26</v>
      </c>
      <c r="F34" t="s">
        <v>27</v>
      </c>
      <c r="G34" t="s">
        <v>57</v>
      </c>
      <c r="H34" t="s">
        <v>58</v>
      </c>
      <c r="I34">
        <v>77</v>
      </c>
      <c r="J34" t="s">
        <v>59</v>
      </c>
      <c r="K34">
        <v>22432</v>
      </c>
    </row>
    <row r="35" spans="1:11" x14ac:dyDescent="0.2">
      <c r="A35" s="55">
        <v>42935</v>
      </c>
      <c r="B35">
        <v>7</v>
      </c>
      <c r="C35">
        <v>23</v>
      </c>
      <c r="D35" t="s">
        <v>25</v>
      </c>
      <c r="E35" t="s">
        <v>52</v>
      </c>
      <c r="F35" t="s">
        <v>60</v>
      </c>
      <c r="G35" t="s">
        <v>61</v>
      </c>
      <c r="H35">
        <v>230689</v>
      </c>
      <c r="I35">
        <v>20</v>
      </c>
      <c r="J35" t="s">
        <v>52</v>
      </c>
      <c r="K35">
        <v>1680</v>
      </c>
    </row>
    <row r="36" spans="1:11" x14ac:dyDescent="0.2">
      <c r="A36" s="55">
        <v>42935</v>
      </c>
      <c r="B36">
        <v>7</v>
      </c>
      <c r="C36">
        <v>10</v>
      </c>
      <c r="D36" t="s">
        <v>25</v>
      </c>
      <c r="E36" t="s">
        <v>26</v>
      </c>
      <c r="F36" t="s">
        <v>60</v>
      </c>
      <c r="G36" t="s">
        <v>62</v>
      </c>
      <c r="H36">
        <v>123</v>
      </c>
      <c r="I36">
        <v>1082</v>
      </c>
      <c r="J36" t="s">
        <v>51</v>
      </c>
      <c r="K36">
        <v>12016</v>
      </c>
    </row>
    <row r="37" spans="1:11" x14ac:dyDescent="0.2">
      <c r="A37" s="55">
        <v>42935</v>
      </c>
      <c r="B37">
        <v>7</v>
      </c>
      <c r="C37">
        <v>9</v>
      </c>
      <c r="D37" t="s">
        <v>25</v>
      </c>
      <c r="E37" t="s">
        <v>26</v>
      </c>
      <c r="F37" t="s">
        <v>60</v>
      </c>
      <c r="G37" t="s">
        <v>63</v>
      </c>
      <c r="H37">
        <v>120</v>
      </c>
      <c r="I37">
        <v>2070</v>
      </c>
      <c r="J37" t="s">
        <v>51</v>
      </c>
      <c r="K37">
        <v>24578</v>
      </c>
    </row>
    <row r="38" spans="1:11" x14ac:dyDescent="0.2">
      <c r="A38" s="55">
        <v>42935</v>
      </c>
      <c r="B38">
        <v>7</v>
      </c>
      <c r="C38">
        <v>8</v>
      </c>
      <c r="D38" t="s">
        <v>25</v>
      </c>
      <c r="E38" t="s">
        <v>26</v>
      </c>
      <c r="F38" t="s">
        <v>60</v>
      </c>
      <c r="G38" t="s">
        <v>64</v>
      </c>
      <c r="H38">
        <v>117</v>
      </c>
      <c r="I38">
        <v>2008</v>
      </c>
      <c r="J38" t="s">
        <v>51</v>
      </c>
      <c r="K38">
        <v>23734</v>
      </c>
    </row>
    <row r="39" spans="1:11" x14ac:dyDescent="0.2">
      <c r="A39" s="55">
        <v>42935</v>
      </c>
      <c r="B39">
        <v>7</v>
      </c>
      <c r="C39">
        <v>7</v>
      </c>
      <c r="D39" t="s">
        <v>25</v>
      </c>
      <c r="E39" t="s">
        <v>26</v>
      </c>
      <c r="F39" t="s">
        <v>60</v>
      </c>
      <c r="G39" t="s">
        <v>65</v>
      </c>
      <c r="H39">
        <v>115</v>
      </c>
      <c r="I39">
        <v>1770</v>
      </c>
      <c r="J39" t="s">
        <v>51</v>
      </c>
      <c r="K39">
        <v>24738</v>
      </c>
    </row>
    <row r="40" spans="1:11" x14ac:dyDescent="0.2">
      <c r="A40" s="55">
        <v>42935</v>
      </c>
      <c r="B40">
        <v>7</v>
      </c>
      <c r="C40">
        <v>6</v>
      </c>
      <c r="D40" t="s">
        <v>25</v>
      </c>
      <c r="E40" t="s">
        <v>26</v>
      </c>
      <c r="F40" t="s">
        <v>60</v>
      </c>
      <c r="G40" t="s">
        <v>57</v>
      </c>
      <c r="H40">
        <v>114</v>
      </c>
      <c r="I40">
        <v>1795</v>
      </c>
      <c r="J40" t="s">
        <v>51</v>
      </c>
      <c r="K40">
        <v>23189</v>
      </c>
    </row>
    <row r="41" spans="1:11" x14ac:dyDescent="0.2">
      <c r="A41" s="55">
        <v>42935</v>
      </c>
      <c r="B41">
        <v>7</v>
      </c>
      <c r="C41">
        <v>5</v>
      </c>
      <c r="D41" t="s">
        <v>25</v>
      </c>
      <c r="E41" t="s">
        <v>56</v>
      </c>
      <c r="F41" t="s">
        <v>60</v>
      </c>
      <c r="G41" t="s">
        <v>66</v>
      </c>
      <c r="H41">
        <v>119</v>
      </c>
      <c r="I41">
        <v>1814</v>
      </c>
      <c r="J41" t="s">
        <v>51</v>
      </c>
      <c r="K41">
        <v>23136</v>
      </c>
    </row>
    <row r="42" spans="1:11" x14ac:dyDescent="0.2">
      <c r="A42" s="55">
        <v>42935</v>
      </c>
      <c r="B42">
        <v>7</v>
      </c>
      <c r="C42">
        <v>4</v>
      </c>
      <c r="D42" t="s">
        <v>25</v>
      </c>
      <c r="E42" t="s">
        <v>56</v>
      </c>
      <c r="F42" t="s">
        <v>60</v>
      </c>
      <c r="G42" t="s">
        <v>67</v>
      </c>
      <c r="H42">
        <v>113</v>
      </c>
      <c r="I42">
        <v>2125</v>
      </c>
      <c r="J42" t="s">
        <v>51</v>
      </c>
      <c r="K42">
        <v>22088</v>
      </c>
    </row>
    <row r="43" spans="1:11" x14ac:dyDescent="0.2">
      <c r="A43" s="55">
        <v>42935</v>
      </c>
      <c r="B43">
        <v>7</v>
      </c>
      <c r="C43">
        <v>3</v>
      </c>
      <c r="D43" t="s">
        <v>25</v>
      </c>
      <c r="E43" t="s">
        <v>56</v>
      </c>
      <c r="F43" t="s">
        <v>60</v>
      </c>
      <c r="G43" t="s">
        <v>68</v>
      </c>
      <c r="H43">
        <v>112</v>
      </c>
      <c r="I43">
        <v>1639</v>
      </c>
      <c r="J43" t="s">
        <v>51</v>
      </c>
      <c r="K43">
        <v>22792</v>
      </c>
    </row>
    <row r="44" spans="1:11" x14ac:dyDescent="0.2">
      <c r="A44" s="55">
        <v>42935</v>
      </c>
      <c r="B44">
        <v>7</v>
      </c>
      <c r="C44">
        <v>15</v>
      </c>
      <c r="D44" t="s">
        <v>25</v>
      </c>
      <c r="E44" t="s">
        <v>45</v>
      </c>
      <c r="F44" t="s">
        <v>60</v>
      </c>
      <c r="G44" t="s">
        <v>69</v>
      </c>
      <c r="H44" t="s">
        <v>70</v>
      </c>
      <c r="I44" t="s">
        <v>71</v>
      </c>
      <c r="J44" t="s">
        <v>45</v>
      </c>
      <c r="K44">
        <v>23705</v>
      </c>
    </row>
    <row r="45" spans="1:11" x14ac:dyDescent="0.2">
      <c r="A45" s="55">
        <v>42935</v>
      </c>
      <c r="B45">
        <v>7</v>
      </c>
      <c r="C45">
        <v>14</v>
      </c>
      <c r="D45" t="s">
        <v>25</v>
      </c>
      <c r="E45" t="s">
        <v>45</v>
      </c>
      <c r="F45" t="s">
        <v>60</v>
      </c>
      <c r="G45" t="s">
        <v>72</v>
      </c>
      <c r="H45" t="s">
        <v>73</v>
      </c>
      <c r="I45" t="s">
        <v>74</v>
      </c>
      <c r="J45" t="s">
        <v>45</v>
      </c>
      <c r="K45">
        <v>24468</v>
      </c>
    </row>
    <row r="46" spans="1:11" x14ac:dyDescent="0.2">
      <c r="A46" s="55">
        <v>42935</v>
      </c>
      <c r="B46">
        <v>7</v>
      </c>
      <c r="C46">
        <v>13</v>
      </c>
      <c r="D46" t="s">
        <v>25</v>
      </c>
      <c r="E46" t="s">
        <v>45</v>
      </c>
      <c r="F46" t="s">
        <v>60</v>
      </c>
      <c r="G46" t="s">
        <v>75</v>
      </c>
      <c r="H46" t="s">
        <v>76</v>
      </c>
      <c r="I46" t="s">
        <v>77</v>
      </c>
      <c r="J46" t="s">
        <v>45</v>
      </c>
      <c r="K46">
        <v>25970</v>
      </c>
    </row>
    <row r="47" spans="1:11" x14ac:dyDescent="0.2">
      <c r="A47" s="55">
        <v>42935</v>
      </c>
      <c r="B47">
        <v>7</v>
      </c>
      <c r="C47">
        <v>12</v>
      </c>
      <c r="D47" t="s">
        <v>25</v>
      </c>
      <c r="E47" t="s">
        <v>45</v>
      </c>
      <c r="F47" t="s">
        <v>60</v>
      </c>
      <c r="G47" t="s">
        <v>69</v>
      </c>
      <c r="H47" t="s">
        <v>78</v>
      </c>
      <c r="I47" t="s">
        <v>77</v>
      </c>
      <c r="J47" t="s">
        <v>45</v>
      </c>
      <c r="K47">
        <v>25970</v>
      </c>
    </row>
    <row r="48" spans="1:11" x14ac:dyDescent="0.2">
      <c r="A48" s="55">
        <v>42935</v>
      </c>
      <c r="B48">
        <v>7</v>
      </c>
      <c r="C48">
        <v>11</v>
      </c>
      <c r="D48" t="s">
        <v>25</v>
      </c>
      <c r="E48" t="s">
        <v>45</v>
      </c>
      <c r="F48" t="s">
        <v>60</v>
      </c>
      <c r="G48" t="s">
        <v>72</v>
      </c>
      <c r="H48" t="s">
        <v>79</v>
      </c>
      <c r="I48" t="s">
        <v>77</v>
      </c>
      <c r="J48" t="s">
        <v>45</v>
      </c>
      <c r="K48">
        <v>25970</v>
      </c>
    </row>
    <row r="49" spans="1:11" x14ac:dyDescent="0.2">
      <c r="A49" s="55">
        <v>42935</v>
      </c>
      <c r="B49">
        <v>7</v>
      </c>
      <c r="C49">
        <v>21</v>
      </c>
      <c r="D49" t="s">
        <v>25</v>
      </c>
      <c r="E49" t="s">
        <v>41</v>
      </c>
      <c r="F49" t="s">
        <v>60</v>
      </c>
      <c r="G49" t="s">
        <v>80</v>
      </c>
      <c r="H49" t="s">
        <v>81</v>
      </c>
      <c r="I49" t="s">
        <v>82</v>
      </c>
      <c r="J49" t="s">
        <v>41</v>
      </c>
      <c r="K49">
        <v>37359</v>
      </c>
    </row>
    <row r="50" spans="1:11" x14ac:dyDescent="0.2">
      <c r="A50" s="55">
        <v>42935</v>
      </c>
      <c r="B50">
        <v>7</v>
      </c>
      <c r="C50">
        <v>20</v>
      </c>
      <c r="D50" t="s">
        <v>25</v>
      </c>
      <c r="E50" t="s">
        <v>41</v>
      </c>
      <c r="F50" t="s">
        <v>60</v>
      </c>
      <c r="G50" t="s">
        <v>80</v>
      </c>
      <c r="H50" t="s">
        <v>83</v>
      </c>
      <c r="I50" t="s">
        <v>84</v>
      </c>
      <c r="J50" t="s">
        <v>41</v>
      </c>
      <c r="K50">
        <v>33131</v>
      </c>
    </row>
    <row r="51" spans="1:11" x14ac:dyDescent="0.2">
      <c r="A51" s="55">
        <v>42935</v>
      </c>
      <c r="B51">
        <v>7</v>
      </c>
      <c r="C51">
        <v>19</v>
      </c>
      <c r="D51" t="s">
        <v>25</v>
      </c>
      <c r="E51" t="s">
        <v>37</v>
      </c>
      <c r="F51" t="s">
        <v>60</v>
      </c>
      <c r="G51" t="s">
        <v>85</v>
      </c>
      <c r="H51" t="s">
        <v>86</v>
      </c>
      <c r="I51" t="s">
        <v>87</v>
      </c>
      <c r="J51" t="s">
        <v>37</v>
      </c>
      <c r="K51">
        <v>36076</v>
      </c>
    </row>
    <row r="52" spans="1:11" x14ac:dyDescent="0.2">
      <c r="A52" s="55">
        <v>42935</v>
      </c>
      <c r="B52">
        <v>7</v>
      </c>
      <c r="C52">
        <v>18</v>
      </c>
      <c r="D52" t="s">
        <v>25</v>
      </c>
      <c r="E52" t="s">
        <v>37</v>
      </c>
      <c r="F52" t="s">
        <v>60</v>
      </c>
      <c r="G52" t="s">
        <v>88</v>
      </c>
      <c r="H52" t="s">
        <v>89</v>
      </c>
      <c r="I52" t="s">
        <v>90</v>
      </c>
      <c r="J52" t="s">
        <v>37</v>
      </c>
      <c r="K52">
        <v>35811</v>
      </c>
    </row>
    <row r="53" spans="1:11" x14ac:dyDescent="0.2">
      <c r="A53" s="55">
        <v>42935</v>
      </c>
      <c r="B53">
        <v>7</v>
      </c>
      <c r="C53">
        <v>17</v>
      </c>
      <c r="D53" t="s">
        <v>25</v>
      </c>
      <c r="E53" t="s">
        <v>37</v>
      </c>
      <c r="F53" t="s">
        <v>60</v>
      </c>
      <c r="G53" t="s">
        <v>91</v>
      </c>
      <c r="H53" t="s">
        <v>92</v>
      </c>
      <c r="I53" t="s">
        <v>82</v>
      </c>
      <c r="J53" t="s">
        <v>37</v>
      </c>
      <c r="K53">
        <v>36319</v>
      </c>
    </row>
    <row r="54" spans="1:11" x14ac:dyDescent="0.2">
      <c r="A54" s="55">
        <v>42935</v>
      </c>
      <c r="B54">
        <v>7</v>
      </c>
      <c r="C54">
        <v>16</v>
      </c>
      <c r="D54" t="s">
        <v>25</v>
      </c>
      <c r="E54" t="s">
        <v>37</v>
      </c>
      <c r="F54" t="s">
        <v>60</v>
      </c>
      <c r="G54" t="s">
        <v>85</v>
      </c>
      <c r="H54" t="s">
        <v>93</v>
      </c>
      <c r="I54" t="s">
        <v>94</v>
      </c>
      <c r="J54" t="s">
        <v>37</v>
      </c>
      <c r="K54">
        <v>37608</v>
      </c>
    </row>
    <row r="55" spans="1:11" x14ac:dyDescent="0.2">
      <c r="A55" s="55">
        <v>42935</v>
      </c>
      <c r="B55">
        <v>7</v>
      </c>
      <c r="C55">
        <v>24</v>
      </c>
      <c r="D55" t="s">
        <v>25</v>
      </c>
      <c r="E55" t="s">
        <v>46</v>
      </c>
      <c r="F55" t="s">
        <v>60</v>
      </c>
      <c r="G55" t="s">
        <v>69</v>
      </c>
      <c r="H55">
        <v>5655</v>
      </c>
      <c r="I55">
        <v>35</v>
      </c>
      <c r="J55" t="s">
        <v>46</v>
      </c>
      <c r="K55">
        <v>35046</v>
      </c>
    </row>
    <row r="56" spans="1:11" x14ac:dyDescent="0.2">
      <c r="A56" s="55">
        <v>42935</v>
      </c>
      <c r="B56">
        <v>7</v>
      </c>
      <c r="C56">
        <v>22</v>
      </c>
      <c r="D56" t="s">
        <v>25</v>
      </c>
      <c r="E56" t="s">
        <v>43</v>
      </c>
      <c r="F56" t="s">
        <v>60</v>
      </c>
      <c r="G56" t="s">
        <v>95</v>
      </c>
      <c r="H56" t="s">
        <v>96</v>
      </c>
      <c r="I56" t="s">
        <v>97</v>
      </c>
      <c r="J56" t="s">
        <v>43</v>
      </c>
      <c r="K56">
        <v>34231</v>
      </c>
    </row>
    <row r="57" spans="1:11" x14ac:dyDescent="0.2">
      <c r="A57" s="55">
        <v>42935</v>
      </c>
      <c r="B57">
        <v>7</v>
      </c>
      <c r="C57">
        <v>25</v>
      </c>
      <c r="D57" t="s">
        <v>25</v>
      </c>
      <c r="E57" t="s">
        <v>47</v>
      </c>
      <c r="F57" t="s">
        <v>98</v>
      </c>
      <c r="G57" t="s">
        <v>99</v>
      </c>
      <c r="H57" t="s">
        <v>100</v>
      </c>
      <c r="I57">
        <v>1648</v>
      </c>
      <c r="J57" t="s">
        <v>47</v>
      </c>
      <c r="K57">
        <v>20842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4">
    <pageSetUpPr fitToPage="1"/>
  </sheetPr>
  <dimension ref="A1:AI362"/>
  <sheetViews>
    <sheetView showGridLines="0" showZeros="0" tabSelected="1" topLeftCell="A2" zoomScaleNormal="100" zoomScaleSheetLayoutView="90" workbookViewId="0">
      <selection activeCell="D40" sqref="D40"/>
    </sheetView>
  </sheetViews>
  <sheetFormatPr defaultRowHeight="12.75" customHeight="1" x14ac:dyDescent="0.2"/>
  <cols>
    <col min="1" max="1" width="10" style="66" customWidth="1"/>
    <col min="2" max="2" width="9" style="63" customWidth="1"/>
    <col min="3" max="3" width="9.7109375" style="71" customWidth="1"/>
    <col min="4" max="4" width="25" style="63" customWidth="1"/>
    <col min="5" max="5" width="14.85546875" style="63" bestFit="1" customWidth="1"/>
    <col min="6" max="6" width="25" style="64" customWidth="1"/>
    <col min="7" max="7" width="43.85546875" style="64" customWidth="1"/>
    <col min="8" max="8" width="16.5703125" style="65" customWidth="1"/>
    <col min="9" max="9" width="24.5703125" style="67" customWidth="1"/>
    <col min="10" max="10" width="14.85546875" style="68" bestFit="1" customWidth="1"/>
    <col min="11" max="11" width="24.5703125" style="68" customWidth="1"/>
    <col min="12" max="12" width="24.28515625" style="68" customWidth="1"/>
    <col min="13" max="13" width="15.7109375" style="68" customWidth="1"/>
    <col min="14" max="14" width="46.85546875" style="68" customWidth="1"/>
    <col min="15" max="15" width="13.140625" style="62" customWidth="1"/>
    <col min="16" max="16384" width="9.140625" style="62"/>
  </cols>
  <sheetData>
    <row r="1" spans="1:15" s="69" customFormat="1" ht="13.5" hidden="1" thickBot="1" x14ac:dyDescent="0.25">
      <c r="A1" s="56" t="s">
        <v>6</v>
      </c>
      <c r="B1" s="57" t="s">
        <v>15</v>
      </c>
      <c r="C1" s="70" t="s">
        <v>16</v>
      </c>
      <c r="D1" s="57" t="s">
        <v>18</v>
      </c>
      <c r="E1" s="57" t="s">
        <v>19</v>
      </c>
      <c r="F1" s="58" t="s">
        <v>20</v>
      </c>
      <c r="G1" s="58" t="s">
        <v>21</v>
      </c>
      <c r="H1" s="59" t="s">
        <v>22</v>
      </c>
      <c r="I1" s="60" t="s">
        <v>23</v>
      </c>
      <c r="J1" s="61" t="s">
        <v>24</v>
      </c>
      <c r="K1" s="32"/>
      <c r="L1" s="68"/>
      <c r="M1" s="68"/>
      <c r="N1" s="68"/>
    </row>
    <row r="2" spans="1:15" s="77" customFormat="1" ht="11.25" customHeight="1" x14ac:dyDescent="0.2">
      <c r="A2" s="73" t="s">
        <v>14</v>
      </c>
      <c r="B2" s="103" t="s">
        <v>15</v>
      </c>
      <c r="C2" s="96" t="s">
        <v>101</v>
      </c>
      <c r="D2" s="103" t="s">
        <v>18</v>
      </c>
      <c r="E2" s="103" t="s">
        <v>19</v>
      </c>
      <c r="F2" s="74" t="s">
        <v>102</v>
      </c>
      <c r="G2" s="74" t="s">
        <v>103</v>
      </c>
      <c r="H2" s="75" t="s">
        <v>104</v>
      </c>
      <c r="I2" s="103" t="s">
        <v>105</v>
      </c>
      <c r="J2" s="76" t="s">
        <v>24</v>
      </c>
      <c r="K2" s="76" t="s">
        <v>106</v>
      </c>
      <c r="L2" s="103" t="s">
        <v>107</v>
      </c>
      <c r="M2" s="103" t="s">
        <v>108</v>
      </c>
      <c r="N2" s="103" t="s">
        <v>109</v>
      </c>
      <c r="O2" s="103" t="s">
        <v>110</v>
      </c>
    </row>
    <row r="3" spans="1:15" s="77" customFormat="1" ht="11.25" customHeight="1" x14ac:dyDescent="0.2">
      <c r="A3" s="92">
        <v>46076</v>
      </c>
      <c r="B3" s="78">
        <v>2</v>
      </c>
      <c r="C3" s="93">
        <f t="shared" ref="C3" si="0">IF(A3=A2,C2+1,1)</f>
        <v>1</v>
      </c>
      <c r="D3" s="105" t="s">
        <v>56</v>
      </c>
      <c r="E3" s="105" t="s">
        <v>27</v>
      </c>
      <c r="F3" s="106" t="s">
        <v>111</v>
      </c>
      <c r="G3" s="109" t="s">
        <v>112</v>
      </c>
      <c r="H3" s="86">
        <v>70</v>
      </c>
      <c r="I3" s="87" t="s">
        <v>113</v>
      </c>
      <c r="J3" s="81">
        <v>19893</v>
      </c>
      <c r="K3" s="90">
        <v>0.01</v>
      </c>
      <c r="L3" s="89">
        <v>46076.448611111111</v>
      </c>
      <c r="M3" s="89"/>
      <c r="N3" s="108" t="s">
        <v>114</v>
      </c>
      <c r="O3" s="80" t="s">
        <v>115</v>
      </c>
    </row>
    <row r="4" spans="1:15" s="77" customFormat="1" ht="11.25" customHeight="1" x14ac:dyDescent="0.2">
      <c r="A4" s="92">
        <v>46076</v>
      </c>
      <c r="B4" s="78">
        <v>2</v>
      </c>
      <c r="C4" s="93">
        <f t="shared" ref="C4:C12" si="1">IF(A4=A3,C3+1,1)</f>
        <v>2</v>
      </c>
      <c r="D4" s="105" t="s">
        <v>56</v>
      </c>
      <c r="E4" s="105" t="s">
        <v>27</v>
      </c>
      <c r="F4" s="106" t="s">
        <v>116</v>
      </c>
      <c r="G4" s="109" t="s">
        <v>117</v>
      </c>
      <c r="H4" s="86">
        <v>457</v>
      </c>
      <c r="I4" s="87" t="s">
        <v>113</v>
      </c>
      <c r="J4" s="81">
        <v>19012</v>
      </c>
      <c r="K4" s="90">
        <v>0.01</v>
      </c>
      <c r="L4" s="89">
        <v>46076.448611111111</v>
      </c>
      <c r="M4" s="89"/>
      <c r="N4" s="108" t="s">
        <v>114</v>
      </c>
      <c r="O4" s="80" t="s">
        <v>115</v>
      </c>
    </row>
    <row r="5" spans="1:15" s="77" customFormat="1" ht="11.25" customHeight="1" x14ac:dyDescent="0.2">
      <c r="A5" s="92">
        <v>46076</v>
      </c>
      <c r="B5" s="78">
        <v>2</v>
      </c>
      <c r="C5" s="93">
        <f t="shared" si="1"/>
        <v>3</v>
      </c>
      <c r="D5" s="80" t="s">
        <v>56</v>
      </c>
      <c r="E5" s="80" t="s">
        <v>27</v>
      </c>
      <c r="F5" s="85" t="s">
        <v>118</v>
      </c>
      <c r="G5" s="91" t="s">
        <v>119</v>
      </c>
      <c r="H5" s="86">
        <v>70</v>
      </c>
      <c r="I5" s="87" t="s">
        <v>120</v>
      </c>
      <c r="J5" s="81">
        <v>19916</v>
      </c>
      <c r="K5" s="90">
        <v>0.01</v>
      </c>
      <c r="L5" s="89">
        <v>46076.604166666664</v>
      </c>
      <c r="M5" s="89"/>
      <c r="N5" s="103" t="s">
        <v>121</v>
      </c>
      <c r="O5" s="80" t="s">
        <v>115</v>
      </c>
    </row>
    <row r="6" spans="1:15" s="77" customFormat="1" ht="11.25" customHeight="1" x14ac:dyDescent="0.2">
      <c r="A6" s="92">
        <v>46076</v>
      </c>
      <c r="B6" s="78">
        <v>2</v>
      </c>
      <c r="C6" s="93">
        <f t="shared" si="1"/>
        <v>4</v>
      </c>
      <c r="D6" s="80" t="s">
        <v>56</v>
      </c>
      <c r="E6" s="80" t="s">
        <v>27</v>
      </c>
      <c r="F6" s="85" t="s">
        <v>122</v>
      </c>
      <c r="G6" s="91" t="s">
        <v>123</v>
      </c>
      <c r="H6" s="86">
        <v>70</v>
      </c>
      <c r="I6" s="87" t="s">
        <v>120</v>
      </c>
      <c r="J6" s="81">
        <v>19948</v>
      </c>
      <c r="K6" s="90">
        <v>0.01</v>
      </c>
      <c r="L6" s="89">
        <v>46076.604166666664</v>
      </c>
      <c r="M6" s="89"/>
      <c r="N6" s="103" t="s">
        <v>121</v>
      </c>
      <c r="O6" s="80" t="s">
        <v>115</v>
      </c>
    </row>
    <row r="7" spans="1:15" s="77" customFormat="1" ht="11.25" customHeight="1" x14ac:dyDescent="0.2">
      <c r="A7" s="92">
        <v>46076</v>
      </c>
      <c r="B7" s="78">
        <v>2</v>
      </c>
      <c r="C7" s="93">
        <f t="shared" si="1"/>
        <v>5</v>
      </c>
      <c r="D7" s="80" t="s">
        <v>56</v>
      </c>
      <c r="E7" s="80" t="s">
        <v>27</v>
      </c>
      <c r="F7" s="85" t="s">
        <v>124</v>
      </c>
      <c r="G7" s="109" t="s">
        <v>125</v>
      </c>
      <c r="H7" s="86">
        <v>68</v>
      </c>
      <c r="I7" s="87" t="s">
        <v>120</v>
      </c>
      <c r="J7" s="81">
        <v>19912</v>
      </c>
      <c r="K7" s="90">
        <v>0.01</v>
      </c>
      <c r="L7" s="89">
        <v>46076.572222222225</v>
      </c>
      <c r="M7" s="89"/>
      <c r="N7" s="103" t="s">
        <v>121</v>
      </c>
      <c r="O7" s="80" t="s">
        <v>115</v>
      </c>
    </row>
    <row r="8" spans="1:15" s="77" customFormat="1" ht="11.25" customHeight="1" x14ac:dyDescent="0.2">
      <c r="A8" s="92">
        <v>46076</v>
      </c>
      <c r="B8" s="78">
        <v>2</v>
      </c>
      <c r="C8" s="93">
        <f t="shared" si="1"/>
        <v>6</v>
      </c>
      <c r="D8" s="80" t="s">
        <v>56</v>
      </c>
      <c r="E8" s="80" t="s">
        <v>27</v>
      </c>
      <c r="F8" s="85" t="s">
        <v>126</v>
      </c>
      <c r="G8" s="109" t="s">
        <v>127</v>
      </c>
      <c r="H8" s="86">
        <v>721</v>
      </c>
      <c r="I8" s="87" t="s">
        <v>120</v>
      </c>
      <c r="J8" s="81">
        <v>19658</v>
      </c>
      <c r="K8" s="90">
        <v>0.01</v>
      </c>
      <c r="L8" s="89">
        <v>46076.572222222225</v>
      </c>
      <c r="M8" s="89"/>
      <c r="N8" s="103" t="s">
        <v>121</v>
      </c>
      <c r="O8" s="80" t="s">
        <v>115</v>
      </c>
    </row>
    <row r="9" spans="1:15" s="77" customFormat="1" ht="11.25" customHeight="1" x14ac:dyDescent="0.2">
      <c r="A9" s="92">
        <v>46076</v>
      </c>
      <c r="B9" s="78">
        <v>2</v>
      </c>
      <c r="C9" s="93">
        <f t="shared" si="1"/>
        <v>7</v>
      </c>
      <c r="D9" s="80" t="s">
        <v>56</v>
      </c>
      <c r="E9" s="80" t="s">
        <v>27</v>
      </c>
      <c r="F9" s="85" t="s">
        <v>128</v>
      </c>
      <c r="G9" s="109" t="s">
        <v>129</v>
      </c>
      <c r="H9" s="86">
        <v>1166</v>
      </c>
      <c r="I9" s="87" t="s">
        <v>130</v>
      </c>
      <c r="J9" s="81">
        <v>17776</v>
      </c>
      <c r="K9" s="90">
        <v>0.01</v>
      </c>
      <c r="L9" s="89">
        <v>46076.556250000001</v>
      </c>
      <c r="M9" s="89"/>
      <c r="N9" s="103" t="s">
        <v>121</v>
      </c>
      <c r="O9" s="80" t="s">
        <v>115</v>
      </c>
    </row>
    <row r="10" spans="1:15" s="77" customFormat="1" ht="11.25" customHeight="1" x14ac:dyDescent="0.2">
      <c r="A10" s="92">
        <v>46076</v>
      </c>
      <c r="B10" s="78">
        <v>2</v>
      </c>
      <c r="C10" s="93">
        <f t="shared" si="1"/>
        <v>8</v>
      </c>
      <c r="D10" s="80" t="s">
        <v>56</v>
      </c>
      <c r="E10" s="80" t="s">
        <v>27</v>
      </c>
      <c r="F10" s="85" t="s">
        <v>131</v>
      </c>
      <c r="G10" s="109" t="s">
        <v>132</v>
      </c>
      <c r="H10" s="86">
        <v>66</v>
      </c>
      <c r="I10" s="87" t="s">
        <v>130</v>
      </c>
      <c r="J10" s="81">
        <v>18150</v>
      </c>
      <c r="K10" s="90">
        <v>0.01</v>
      </c>
      <c r="L10" s="89">
        <v>46076.556250000001</v>
      </c>
      <c r="M10" s="89"/>
      <c r="N10" s="103" t="s">
        <v>121</v>
      </c>
      <c r="O10" s="80" t="s">
        <v>115</v>
      </c>
    </row>
    <row r="11" spans="1:15" s="77" customFormat="1" ht="11.25" customHeight="1" x14ac:dyDescent="0.2">
      <c r="A11" s="92">
        <v>46076</v>
      </c>
      <c r="B11" s="78">
        <v>2</v>
      </c>
      <c r="C11" s="93">
        <f t="shared" si="1"/>
        <v>9</v>
      </c>
      <c r="D11" s="105" t="s">
        <v>56</v>
      </c>
      <c r="E11" s="105" t="s">
        <v>27</v>
      </c>
      <c r="F11" s="106" t="s">
        <v>133</v>
      </c>
      <c r="G11" s="109" t="s">
        <v>134</v>
      </c>
      <c r="H11" s="86">
        <v>77</v>
      </c>
      <c r="I11" s="87" t="s">
        <v>135</v>
      </c>
      <c r="J11" s="81">
        <v>21015</v>
      </c>
      <c r="K11" s="90">
        <v>0.01</v>
      </c>
      <c r="L11" s="89">
        <v>46076.472222222219</v>
      </c>
      <c r="M11" s="89"/>
      <c r="N11" s="108" t="s">
        <v>114</v>
      </c>
      <c r="O11" s="80" t="s">
        <v>115</v>
      </c>
    </row>
    <row r="12" spans="1:15" s="77" customFormat="1" ht="11.25" customHeight="1" x14ac:dyDescent="0.2">
      <c r="A12" s="92">
        <v>46076</v>
      </c>
      <c r="B12" s="78">
        <v>2</v>
      </c>
      <c r="C12" s="93">
        <f t="shared" si="1"/>
        <v>10</v>
      </c>
      <c r="D12" s="80" t="s">
        <v>56</v>
      </c>
      <c r="E12" s="80" t="s">
        <v>27</v>
      </c>
      <c r="F12" s="85" t="s">
        <v>136</v>
      </c>
      <c r="G12" s="109" t="s">
        <v>137</v>
      </c>
      <c r="H12" s="86">
        <v>67</v>
      </c>
      <c r="I12" s="87" t="s">
        <v>138</v>
      </c>
      <c r="J12" s="81">
        <v>19189</v>
      </c>
      <c r="K12" s="90">
        <v>0.01</v>
      </c>
      <c r="L12" s="89">
        <v>46076.569444444445</v>
      </c>
      <c r="M12" s="89"/>
      <c r="N12" s="103" t="s">
        <v>121</v>
      </c>
      <c r="O12" s="80" t="s">
        <v>115</v>
      </c>
    </row>
    <row r="13" spans="1:15" s="77" customFormat="1" ht="11.25" customHeight="1" x14ac:dyDescent="0.2">
      <c r="A13" s="92">
        <v>46076</v>
      </c>
      <c r="B13" s="78">
        <v>2</v>
      </c>
      <c r="C13" s="93">
        <f t="shared" ref="C13" si="2">IF(A13=A12,C12+1,1)</f>
        <v>11</v>
      </c>
      <c r="D13" s="80" t="s">
        <v>56</v>
      </c>
      <c r="E13" s="80" t="s">
        <v>27</v>
      </c>
      <c r="F13" s="85" t="s">
        <v>139</v>
      </c>
      <c r="G13" s="109" t="s">
        <v>140</v>
      </c>
      <c r="H13" s="86">
        <v>67</v>
      </c>
      <c r="I13" s="87" t="s">
        <v>138</v>
      </c>
      <c r="J13" s="81">
        <v>18948</v>
      </c>
      <c r="K13" s="90">
        <v>0.01</v>
      </c>
      <c r="L13" s="89">
        <v>46076.569444444445</v>
      </c>
      <c r="M13" s="89"/>
      <c r="N13" s="103" t="s">
        <v>121</v>
      </c>
      <c r="O13" s="80" t="s">
        <v>115</v>
      </c>
    </row>
    <row r="14" spans="1:15" s="77" customFormat="1" ht="11.25" customHeight="1" x14ac:dyDescent="0.2">
      <c r="A14" s="92">
        <v>46076</v>
      </c>
      <c r="B14" s="78">
        <v>2</v>
      </c>
      <c r="C14" s="93">
        <f t="shared" ref="C14:C19" si="3">IF(A14=A13,C13+1,1)</f>
        <v>12</v>
      </c>
      <c r="D14" s="105" t="s">
        <v>56</v>
      </c>
      <c r="E14" s="105" t="s">
        <v>27</v>
      </c>
      <c r="F14" s="106" t="s">
        <v>141</v>
      </c>
      <c r="G14" s="109" t="s">
        <v>142</v>
      </c>
      <c r="H14" s="86">
        <v>84</v>
      </c>
      <c r="I14" s="87" t="s">
        <v>143</v>
      </c>
      <c r="J14" s="81">
        <v>20676</v>
      </c>
      <c r="K14" s="90">
        <v>0.01</v>
      </c>
      <c r="L14" s="89">
        <v>46076.645138888889</v>
      </c>
      <c r="M14" s="89"/>
      <c r="N14" s="108" t="s">
        <v>114</v>
      </c>
      <c r="O14" s="80" t="s">
        <v>115</v>
      </c>
    </row>
    <row r="15" spans="1:15" s="77" customFormat="1" ht="11.25" customHeight="1" x14ac:dyDescent="0.2">
      <c r="A15" s="92">
        <v>46076</v>
      </c>
      <c r="B15" s="78">
        <v>2</v>
      </c>
      <c r="C15" s="93">
        <f t="shared" si="3"/>
        <v>13</v>
      </c>
      <c r="D15" s="105" t="s">
        <v>56</v>
      </c>
      <c r="E15" s="105" t="s">
        <v>27</v>
      </c>
      <c r="F15" s="106" t="s">
        <v>144</v>
      </c>
      <c r="G15" s="109" t="s">
        <v>145</v>
      </c>
      <c r="H15" s="86">
        <v>84</v>
      </c>
      <c r="I15" s="87" t="s">
        <v>143</v>
      </c>
      <c r="J15" s="81">
        <v>20232</v>
      </c>
      <c r="K15" s="90">
        <v>0.01</v>
      </c>
      <c r="L15" s="89">
        <v>46076.618750000001</v>
      </c>
      <c r="M15" s="89"/>
      <c r="N15" s="108" t="s">
        <v>114</v>
      </c>
      <c r="O15" s="80" t="s">
        <v>115</v>
      </c>
    </row>
    <row r="16" spans="1:15" s="77" customFormat="1" ht="11.25" customHeight="1" x14ac:dyDescent="0.2">
      <c r="A16" s="92">
        <v>46076</v>
      </c>
      <c r="B16" s="78">
        <v>2</v>
      </c>
      <c r="C16" s="93">
        <f t="shared" si="3"/>
        <v>14</v>
      </c>
      <c r="D16" s="80" t="s">
        <v>56</v>
      </c>
      <c r="E16" s="80" t="s">
        <v>27</v>
      </c>
      <c r="F16" s="85" t="s">
        <v>144</v>
      </c>
      <c r="G16" s="91" t="s">
        <v>146</v>
      </c>
      <c r="H16" s="86">
        <v>114</v>
      </c>
      <c r="I16" s="87" t="s">
        <v>143</v>
      </c>
      <c r="J16" s="81">
        <v>20766</v>
      </c>
      <c r="K16" s="90">
        <v>0.01</v>
      </c>
      <c r="L16" s="89">
        <v>46076.702777777777</v>
      </c>
      <c r="M16" s="89"/>
      <c r="N16" s="103" t="s">
        <v>121</v>
      </c>
      <c r="O16" s="80" t="s">
        <v>115</v>
      </c>
    </row>
    <row r="17" spans="1:15" s="77" customFormat="1" ht="11.25" customHeight="1" x14ac:dyDescent="0.2">
      <c r="A17" s="92">
        <v>46076</v>
      </c>
      <c r="B17" s="78">
        <v>2</v>
      </c>
      <c r="C17" s="93">
        <f t="shared" si="3"/>
        <v>15</v>
      </c>
      <c r="D17" s="105" t="s">
        <v>147</v>
      </c>
      <c r="E17" s="105" t="s">
        <v>27</v>
      </c>
      <c r="F17" s="106" t="s">
        <v>148</v>
      </c>
      <c r="G17" s="109" t="s">
        <v>149</v>
      </c>
      <c r="H17" s="86">
        <v>73</v>
      </c>
      <c r="I17" s="87" t="s">
        <v>150</v>
      </c>
      <c r="J17" s="81">
        <v>18812</v>
      </c>
      <c r="K17" s="90">
        <v>0.01</v>
      </c>
      <c r="L17" s="89">
        <v>46076.508333333331</v>
      </c>
      <c r="M17" s="89"/>
      <c r="N17" s="108" t="s">
        <v>114</v>
      </c>
      <c r="O17" s="80" t="s">
        <v>115</v>
      </c>
    </row>
    <row r="18" spans="1:15" s="77" customFormat="1" ht="11.25" customHeight="1" x14ac:dyDescent="0.2">
      <c r="A18" s="92">
        <v>46076</v>
      </c>
      <c r="B18" s="78">
        <v>2</v>
      </c>
      <c r="C18" s="93">
        <f t="shared" si="3"/>
        <v>16</v>
      </c>
      <c r="D18" s="80" t="s">
        <v>147</v>
      </c>
      <c r="E18" s="80" t="s">
        <v>27</v>
      </c>
      <c r="F18" s="85" t="s">
        <v>151</v>
      </c>
      <c r="G18" s="109" t="s">
        <v>152</v>
      </c>
      <c r="H18" s="86">
        <v>73</v>
      </c>
      <c r="I18" s="87" t="s">
        <v>153</v>
      </c>
      <c r="J18" s="81">
        <v>17450</v>
      </c>
      <c r="K18" s="90">
        <v>0.01</v>
      </c>
      <c r="L18" s="89">
        <v>46076.586805555555</v>
      </c>
      <c r="M18" s="89"/>
      <c r="N18" s="103" t="s">
        <v>121</v>
      </c>
      <c r="O18" s="80" t="s">
        <v>115</v>
      </c>
    </row>
    <row r="19" spans="1:15" s="77" customFormat="1" ht="11.25" customHeight="1" x14ac:dyDescent="0.2">
      <c r="A19" s="92">
        <v>46076</v>
      </c>
      <c r="B19" s="78">
        <v>2</v>
      </c>
      <c r="C19" s="93">
        <f t="shared" si="3"/>
        <v>17</v>
      </c>
      <c r="D19" s="105" t="s">
        <v>154</v>
      </c>
      <c r="E19" s="105" t="s">
        <v>60</v>
      </c>
      <c r="F19" s="106" t="s">
        <v>155</v>
      </c>
      <c r="G19" s="109" t="s">
        <v>156</v>
      </c>
      <c r="H19" s="86" t="s">
        <v>157</v>
      </c>
      <c r="I19" s="87" t="s">
        <v>158</v>
      </c>
      <c r="J19" s="81">
        <v>30600</v>
      </c>
      <c r="K19" s="90">
        <v>20393.48</v>
      </c>
      <c r="L19" s="89">
        <v>46076.236111111109</v>
      </c>
      <c r="M19" s="89">
        <v>46076.368055555555</v>
      </c>
      <c r="N19" s="108" t="s">
        <v>114</v>
      </c>
      <c r="O19" s="80" t="s">
        <v>159</v>
      </c>
    </row>
    <row r="20" spans="1:15" s="77" customFormat="1" ht="11.25" customHeight="1" x14ac:dyDescent="0.2">
      <c r="A20" s="92">
        <v>46076</v>
      </c>
      <c r="B20" s="78">
        <v>2</v>
      </c>
      <c r="C20" s="93">
        <f t="shared" ref="C20:C21" si="4">IF(A20=A19,C19+1,1)</f>
        <v>18</v>
      </c>
      <c r="D20" s="105" t="s">
        <v>160</v>
      </c>
      <c r="E20" s="105" t="s">
        <v>60</v>
      </c>
      <c r="F20" s="106" t="s">
        <v>161</v>
      </c>
      <c r="G20" s="109">
        <v>399078</v>
      </c>
      <c r="H20" s="86" t="s">
        <v>162</v>
      </c>
      <c r="I20" s="87" t="s">
        <v>158</v>
      </c>
      <c r="J20" s="81">
        <v>24091</v>
      </c>
      <c r="K20" s="90">
        <v>15120.01</v>
      </c>
      <c r="L20" s="89">
        <v>46076.484722222223</v>
      </c>
      <c r="M20" s="89"/>
      <c r="N20" s="108" t="s">
        <v>163</v>
      </c>
      <c r="O20" s="80" t="s">
        <v>159</v>
      </c>
    </row>
    <row r="21" spans="1:15" s="77" customFormat="1" ht="11.25" customHeight="1" x14ac:dyDescent="0.2">
      <c r="A21" s="92">
        <v>46076</v>
      </c>
      <c r="B21" s="78">
        <v>2</v>
      </c>
      <c r="C21" s="93">
        <f t="shared" si="4"/>
        <v>19</v>
      </c>
      <c r="D21" s="105" t="s">
        <v>160</v>
      </c>
      <c r="E21" s="105" t="s">
        <v>60</v>
      </c>
      <c r="F21" s="106" t="s">
        <v>164</v>
      </c>
      <c r="G21" s="109">
        <v>399078</v>
      </c>
      <c r="H21" s="86" t="s">
        <v>162</v>
      </c>
      <c r="I21" s="87" t="s">
        <v>158</v>
      </c>
      <c r="J21" s="81">
        <v>24091</v>
      </c>
      <c r="K21" s="90">
        <v>15120.01</v>
      </c>
      <c r="L21" s="89">
        <v>46076.484722222223</v>
      </c>
      <c r="M21" s="89"/>
      <c r="N21" s="108" t="s">
        <v>165</v>
      </c>
      <c r="O21" s="80" t="s">
        <v>159</v>
      </c>
    </row>
    <row r="22" spans="1:15" s="77" customFormat="1" ht="12" x14ac:dyDescent="0.2">
      <c r="A22" s="92">
        <v>46076</v>
      </c>
      <c r="B22" s="78">
        <v>2</v>
      </c>
      <c r="C22" s="93">
        <f t="shared" ref="C22:C24" si="5">IF(A22=A21,C21+1,1)</f>
        <v>20</v>
      </c>
      <c r="D22" s="111" t="s">
        <v>166</v>
      </c>
      <c r="E22" s="111" t="s">
        <v>60</v>
      </c>
      <c r="F22" s="112" t="s">
        <v>167</v>
      </c>
      <c r="G22" s="110">
        <v>2434</v>
      </c>
      <c r="H22" s="79" t="s">
        <v>168</v>
      </c>
      <c r="I22" s="80" t="s">
        <v>169</v>
      </c>
      <c r="J22" s="81">
        <v>4574.7</v>
      </c>
      <c r="K22" s="82">
        <v>132864.97</v>
      </c>
      <c r="L22" s="83">
        <v>46076.079861111109</v>
      </c>
      <c r="M22" s="83">
        <v>46076.625</v>
      </c>
      <c r="N22" s="84" t="s">
        <v>121</v>
      </c>
      <c r="O22" s="80" t="s">
        <v>159</v>
      </c>
    </row>
    <row r="23" spans="1:15" s="77" customFormat="1" ht="12" x14ac:dyDescent="0.2">
      <c r="A23" s="92">
        <v>46076</v>
      </c>
      <c r="B23" s="78">
        <v>2</v>
      </c>
      <c r="C23" s="93">
        <f t="shared" si="5"/>
        <v>21</v>
      </c>
      <c r="D23" s="105" t="s">
        <v>48</v>
      </c>
      <c r="E23" s="105" t="s">
        <v>60</v>
      </c>
      <c r="F23" s="106" t="s">
        <v>170</v>
      </c>
      <c r="G23" s="97">
        <v>16448</v>
      </c>
      <c r="H23" s="99" t="s">
        <v>162</v>
      </c>
      <c r="I23" s="88" t="s">
        <v>171</v>
      </c>
      <c r="J23" s="100">
        <v>25250</v>
      </c>
      <c r="K23" s="98">
        <v>247500</v>
      </c>
      <c r="L23" s="101">
        <v>46075.479166666664</v>
      </c>
      <c r="M23" s="101"/>
      <c r="N23" s="107" t="s">
        <v>114</v>
      </c>
      <c r="O23" s="88" t="s">
        <v>159</v>
      </c>
    </row>
    <row r="24" spans="1:15" s="77" customFormat="1" ht="12" x14ac:dyDescent="0.2">
      <c r="A24" s="92">
        <v>46076</v>
      </c>
      <c r="B24" s="78">
        <v>2</v>
      </c>
      <c r="C24" s="93">
        <f t="shared" si="5"/>
        <v>22</v>
      </c>
      <c r="D24" s="105" t="s">
        <v>48</v>
      </c>
      <c r="E24" s="105" t="s">
        <v>60</v>
      </c>
      <c r="F24" s="106" t="s">
        <v>172</v>
      </c>
      <c r="G24" s="97">
        <v>16448</v>
      </c>
      <c r="H24" s="99" t="s">
        <v>162</v>
      </c>
      <c r="I24" s="88" t="s">
        <v>171</v>
      </c>
      <c r="J24" s="100">
        <v>25250</v>
      </c>
      <c r="K24" s="98">
        <v>247500</v>
      </c>
      <c r="L24" s="101">
        <v>46075.479166666664</v>
      </c>
      <c r="M24" s="101"/>
      <c r="N24" s="107" t="s">
        <v>114</v>
      </c>
      <c r="O24" s="88" t="s">
        <v>159</v>
      </c>
    </row>
    <row r="25" spans="1:15" s="77" customFormat="1" ht="12" x14ac:dyDescent="0.2">
      <c r="A25" s="92">
        <v>46076</v>
      </c>
      <c r="B25" s="78">
        <v>2</v>
      </c>
      <c r="C25" s="93">
        <f t="shared" ref="C25" si="6">IF(A25=A24,C24+1,1)</f>
        <v>23</v>
      </c>
      <c r="D25" s="105" t="s">
        <v>173</v>
      </c>
      <c r="E25" s="105" t="s">
        <v>60</v>
      </c>
      <c r="F25" s="106" t="s">
        <v>174</v>
      </c>
      <c r="G25" s="97">
        <v>19608</v>
      </c>
      <c r="H25" s="79" t="s">
        <v>175</v>
      </c>
      <c r="I25" s="80" t="s">
        <v>176</v>
      </c>
      <c r="J25" s="81">
        <v>23500</v>
      </c>
      <c r="K25" s="82">
        <v>86950</v>
      </c>
      <c r="L25" s="83">
        <v>46076.201388888891</v>
      </c>
      <c r="M25" s="83"/>
      <c r="N25" s="107" t="s">
        <v>114</v>
      </c>
      <c r="O25" s="88" t="s">
        <v>159</v>
      </c>
    </row>
    <row r="26" spans="1:15" s="77" customFormat="1" ht="12" x14ac:dyDescent="0.2">
      <c r="A26" s="92">
        <v>46076</v>
      </c>
      <c r="B26" s="78">
        <v>2</v>
      </c>
      <c r="C26" s="93">
        <f t="shared" ref="C26:C27" si="7">IF(A26=A25,C25+1,1)</f>
        <v>24</v>
      </c>
      <c r="D26" s="105" t="s">
        <v>173</v>
      </c>
      <c r="E26" s="105" t="s">
        <v>60</v>
      </c>
      <c r="F26" s="106" t="s">
        <v>177</v>
      </c>
      <c r="G26" s="97">
        <v>19608</v>
      </c>
      <c r="H26" s="79" t="s">
        <v>175</v>
      </c>
      <c r="I26" s="80" t="s">
        <v>176</v>
      </c>
      <c r="J26" s="81">
        <v>23500</v>
      </c>
      <c r="K26" s="82">
        <v>86950</v>
      </c>
      <c r="L26" s="83">
        <v>46076.201388888891</v>
      </c>
      <c r="M26" s="83"/>
      <c r="N26" s="107" t="s">
        <v>114</v>
      </c>
      <c r="O26" s="88" t="s">
        <v>159</v>
      </c>
    </row>
    <row r="27" spans="1:15" s="77" customFormat="1" ht="12" x14ac:dyDescent="0.2">
      <c r="A27" s="92">
        <v>46076</v>
      </c>
      <c r="B27" s="78">
        <v>2</v>
      </c>
      <c r="C27" s="93">
        <f t="shared" si="7"/>
        <v>25</v>
      </c>
      <c r="D27" s="80" t="s">
        <v>173</v>
      </c>
      <c r="E27" s="80" t="s">
        <v>60</v>
      </c>
      <c r="F27" s="85" t="s">
        <v>178</v>
      </c>
      <c r="G27" s="97">
        <v>19610</v>
      </c>
      <c r="H27" s="79" t="s">
        <v>175</v>
      </c>
      <c r="I27" s="80" t="s">
        <v>176</v>
      </c>
      <c r="J27" s="81">
        <v>23500</v>
      </c>
      <c r="K27" s="82">
        <v>86950</v>
      </c>
      <c r="L27" s="83">
        <v>46076.204861111109</v>
      </c>
      <c r="M27" s="83"/>
      <c r="N27" s="84" t="s">
        <v>121</v>
      </c>
      <c r="O27" s="88" t="s">
        <v>159</v>
      </c>
    </row>
    <row r="28" spans="1:15" s="77" customFormat="1" ht="12" x14ac:dyDescent="0.2">
      <c r="A28" s="92">
        <v>46076</v>
      </c>
      <c r="B28" s="78">
        <v>2</v>
      </c>
      <c r="C28" s="93">
        <f t="shared" ref="C28" si="8">IF(A28=A27,C27+1,1)</f>
        <v>26</v>
      </c>
      <c r="D28" s="80" t="s">
        <v>173</v>
      </c>
      <c r="E28" s="80" t="s">
        <v>60</v>
      </c>
      <c r="F28" s="85" t="s">
        <v>179</v>
      </c>
      <c r="G28" s="97">
        <v>19610</v>
      </c>
      <c r="H28" s="79" t="s">
        <v>175</v>
      </c>
      <c r="I28" s="80" t="s">
        <v>176</v>
      </c>
      <c r="J28" s="81">
        <v>23500</v>
      </c>
      <c r="K28" s="82">
        <v>86950</v>
      </c>
      <c r="L28" s="83">
        <v>46076.204861111109</v>
      </c>
      <c r="M28" s="83"/>
      <c r="N28" s="84" t="s">
        <v>121</v>
      </c>
      <c r="O28" s="88" t="s">
        <v>159</v>
      </c>
    </row>
    <row r="29" spans="1:15" s="77" customFormat="1" ht="12" x14ac:dyDescent="0.2">
      <c r="A29" s="92">
        <v>46076</v>
      </c>
      <c r="B29" s="78">
        <v>2</v>
      </c>
      <c r="C29" s="93">
        <f t="shared" ref="C29" si="9">IF(A29=A28,C28+1,1)</f>
        <v>27</v>
      </c>
      <c r="D29" s="80" t="s">
        <v>180</v>
      </c>
      <c r="E29" s="80" t="s">
        <v>60</v>
      </c>
      <c r="F29" s="94" t="s">
        <v>181</v>
      </c>
      <c r="G29" s="100">
        <v>8566</v>
      </c>
      <c r="H29" s="79" t="s">
        <v>182</v>
      </c>
      <c r="I29" s="80" t="s">
        <v>183</v>
      </c>
      <c r="J29" s="81">
        <v>1971</v>
      </c>
      <c r="K29" s="82">
        <v>41835.97</v>
      </c>
      <c r="L29" s="83">
        <v>46074.492361111108</v>
      </c>
      <c r="M29" s="80"/>
      <c r="N29" s="84" t="s">
        <v>121</v>
      </c>
      <c r="O29" s="80" t="s">
        <v>159</v>
      </c>
    </row>
    <row r="30" spans="1:15" s="77" customFormat="1" ht="12" x14ac:dyDescent="0.2">
      <c r="A30" s="92">
        <v>46076</v>
      </c>
      <c r="B30" s="78">
        <v>2</v>
      </c>
      <c r="C30" s="93">
        <f t="shared" ref="C30" si="10">IF(A30=A29,C29+1,1)</f>
        <v>28</v>
      </c>
      <c r="D30" s="80" t="s">
        <v>184</v>
      </c>
      <c r="E30" s="80" t="s">
        <v>60</v>
      </c>
      <c r="F30" s="95" t="s">
        <v>185</v>
      </c>
      <c r="G30" s="97">
        <v>1163</v>
      </c>
      <c r="H30" s="79" t="s">
        <v>186</v>
      </c>
      <c r="I30" s="80" t="s">
        <v>187</v>
      </c>
      <c r="J30" s="81">
        <v>1900</v>
      </c>
      <c r="K30" s="82">
        <v>24798.400000000001</v>
      </c>
      <c r="L30" s="83">
        <v>46076.633333333331</v>
      </c>
      <c r="M30" s="83">
        <v>46076.642361111109</v>
      </c>
      <c r="N30" s="84" t="s">
        <v>121</v>
      </c>
      <c r="O30" s="80" t="s">
        <v>159</v>
      </c>
    </row>
    <row r="31" spans="1:15" s="77" customFormat="1" ht="12" x14ac:dyDescent="0.2">
      <c r="A31" s="92">
        <v>46076</v>
      </c>
      <c r="B31" s="78">
        <v>2</v>
      </c>
      <c r="C31" s="93">
        <f t="shared" ref="C31:C36" si="11">IF(A31=A30,C30+1,1)</f>
        <v>29</v>
      </c>
      <c r="D31" s="80" t="s">
        <v>188</v>
      </c>
      <c r="E31" s="80" t="s">
        <v>60</v>
      </c>
      <c r="F31" s="95" t="s">
        <v>189</v>
      </c>
      <c r="G31" s="97">
        <v>308</v>
      </c>
      <c r="H31" s="79" t="s">
        <v>162</v>
      </c>
      <c r="I31" s="80" t="s">
        <v>190</v>
      </c>
      <c r="J31" s="81">
        <v>33022</v>
      </c>
      <c r="K31" s="82">
        <v>43879.12</v>
      </c>
      <c r="L31" s="83">
        <v>46076.60833333333</v>
      </c>
      <c r="M31" s="80"/>
      <c r="N31" s="84" t="s">
        <v>121</v>
      </c>
      <c r="O31" s="80" t="s">
        <v>159</v>
      </c>
    </row>
    <row r="32" spans="1:15" s="77" customFormat="1" ht="12" x14ac:dyDescent="0.2">
      <c r="A32" s="92">
        <v>46076</v>
      </c>
      <c r="B32" s="78">
        <v>2</v>
      </c>
      <c r="C32" s="93">
        <f t="shared" si="11"/>
        <v>30</v>
      </c>
      <c r="D32" s="80" t="s">
        <v>191</v>
      </c>
      <c r="E32" s="80" t="s">
        <v>60</v>
      </c>
      <c r="F32" s="95" t="s">
        <v>192</v>
      </c>
      <c r="G32" s="97">
        <v>31239</v>
      </c>
      <c r="H32" s="79" t="s">
        <v>162</v>
      </c>
      <c r="I32" s="80" t="s">
        <v>193</v>
      </c>
      <c r="J32" s="81">
        <v>28236</v>
      </c>
      <c r="K32" s="82">
        <v>241701.91</v>
      </c>
      <c r="L32" s="83">
        <v>46076.609722222223</v>
      </c>
      <c r="M32" s="80"/>
      <c r="N32" s="84" t="s">
        <v>121</v>
      </c>
      <c r="O32" s="80" t="s">
        <v>159</v>
      </c>
    </row>
    <row r="33" spans="1:15" s="77" customFormat="1" ht="12" x14ac:dyDescent="0.2">
      <c r="A33" s="92">
        <v>46076</v>
      </c>
      <c r="B33" s="78">
        <v>2</v>
      </c>
      <c r="C33" s="93">
        <f t="shared" si="11"/>
        <v>31</v>
      </c>
      <c r="D33" s="80" t="s">
        <v>194</v>
      </c>
      <c r="E33" s="80" t="s">
        <v>60</v>
      </c>
      <c r="F33" s="95" t="s">
        <v>195</v>
      </c>
      <c r="G33" s="97" t="s">
        <v>196</v>
      </c>
      <c r="H33" s="79" t="s">
        <v>162</v>
      </c>
      <c r="I33" s="80" t="s">
        <v>197</v>
      </c>
      <c r="J33" s="81">
        <v>32551</v>
      </c>
      <c r="K33" s="82">
        <v>33764.980000000003</v>
      </c>
      <c r="L33" s="83">
        <v>46076.686111111114</v>
      </c>
      <c r="M33" s="80"/>
      <c r="N33" s="84" t="s">
        <v>121</v>
      </c>
      <c r="O33" s="80" t="s">
        <v>159</v>
      </c>
    </row>
    <row r="34" spans="1:15" s="77" customFormat="1" ht="12" x14ac:dyDescent="0.2">
      <c r="A34" s="92">
        <v>46076</v>
      </c>
      <c r="B34" s="78">
        <v>2</v>
      </c>
      <c r="C34" s="93">
        <f t="shared" si="11"/>
        <v>32</v>
      </c>
      <c r="D34" s="105" t="s">
        <v>198</v>
      </c>
      <c r="E34" s="105" t="s">
        <v>60</v>
      </c>
      <c r="F34" s="106" t="s">
        <v>199</v>
      </c>
      <c r="G34" s="97">
        <v>169</v>
      </c>
      <c r="H34" s="79" t="s">
        <v>200</v>
      </c>
      <c r="I34" s="80" t="s">
        <v>60</v>
      </c>
      <c r="J34" s="81">
        <v>11034</v>
      </c>
      <c r="K34" s="82">
        <v>903127.51</v>
      </c>
      <c r="L34" s="83">
        <v>46076.37777777778</v>
      </c>
      <c r="M34" s="83">
        <v>46076.517361111109</v>
      </c>
      <c r="N34" s="107" t="s">
        <v>114</v>
      </c>
      <c r="O34" s="88" t="s">
        <v>159</v>
      </c>
    </row>
    <row r="35" spans="1:15" s="77" customFormat="1" ht="12" x14ac:dyDescent="0.2">
      <c r="A35" s="92">
        <v>46076</v>
      </c>
      <c r="B35" s="78">
        <v>2</v>
      </c>
      <c r="C35" s="93">
        <f t="shared" si="11"/>
        <v>33</v>
      </c>
      <c r="D35" s="105" t="s">
        <v>201</v>
      </c>
      <c r="E35" s="105" t="s">
        <v>60</v>
      </c>
      <c r="F35" s="106" t="s">
        <v>202</v>
      </c>
      <c r="G35" s="97" t="s">
        <v>203</v>
      </c>
      <c r="H35" s="79" t="s">
        <v>204</v>
      </c>
      <c r="I35" s="80" t="s">
        <v>60</v>
      </c>
      <c r="J35" s="81">
        <v>15037</v>
      </c>
      <c r="K35" s="82">
        <v>1249719.8899999999</v>
      </c>
      <c r="L35" s="83">
        <v>46076.416666666664</v>
      </c>
      <c r="M35" s="83">
        <v>46076.618055555555</v>
      </c>
      <c r="N35" s="107" t="s">
        <v>163</v>
      </c>
      <c r="O35" s="88" t="s">
        <v>159</v>
      </c>
    </row>
    <row r="36" spans="1:15" s="77" customFormat="1" ht="12" x14ac:dyDescent="0.2">
      <c r="A36" s="92">
        <v>46076</v>
      </c>
      <c r="B36" s="78">
        <v>2</v>
      </c>
      <c r="C36" s="93">
        <f t="shared" si="11"/>
        <v>34</v>
      </c>
      <c r="D36" s="105" t="s">
        <v>205</v>
      </c>
      <c r="E36" s="105" t="s">
        <v>60</v>
      </c>
      <c r="F36" s="106" t="s">
        <v>206</v>
      </c>
      <c r="G36" s="97">
        <v>2458</v>
      </c>
      <c r="H36" s="99" t="s">
        <v>207</v>
      </c>
      <c r="I36" s="88" t="s">
        <v>171</v>
      </c>
      <c r="J36" s="100">
        <v>23931.8</v>
      </c>
      <c r="K36" s="98">
        <v>127510.96</v>
      </c>
      <c r="L36" s="101">
        <v>46074.960416666669</v>
      </c>
      <c r="M36" s="101">
        <v>46076.5</v>
      </c>
      <c r="N36" s="107" t="s">
        <v>165</v>
      </c>
      <c r="O36" s="88" t="s">
        <v>159</v>
      </c>
    </row>
    <row r="37" spans="1:15" s="77" customFormat="1" ht="12" x14ac:dyDescent="0.2">
      <c r="A37" s="92">
        <v>46076</v>
      </c>
      <c r="B37" s="78">
        <v>2</v>
      </c>
      <c r="C37" s="93">
        <f t="shared" ref="C37:C41" si="12">IF(A37=A36,C36+1,1)</f>
        <v>35</v>
      </c>
      <c r="D37" s="105" t="s">
        <v>205</v>
      </c>
      <c r="E37" s="105" t="s">
        <v>60</v>
      </c>
      <c r="F37" s="106" t="s">
        <v>208</v>
      </c>
      <c r="G37" s="97">
        <v>2450</v>
      </c>
      <c r="H37" s="99" t="s">
        <v>209</v>
      </c>
      <c r="I37" s="88" t="s">
        <v>171</v>
      </c>
      <c r="J37" s="100">
        <v>25425</v>
      </c>
      <c r="K37" s="98">
        <v>580885.54</v>
      </c>
      <c r="L37" s="101">
        <v>46075.975694444445</v>
      </c>
      <c r="M37" s="101">
        <v>46076.579861111109</v>
      </c>
      <c r="N37" s="107" t="s">
        <v>114</v>
      </c>
      <c r="O37" s="88" t="s">
        <v>159</v>
      </c>
    </row>
    <row r="38" spans="1:15" s="77" customFormat="1" ht="12" x14ac:dyDescent="0.2">
      <c r="A38" s="92">
        <v>46076</v>
      </c>
      <c r="B38" s="78">
        <v>2</v>
      </c>
      <c r="C38" s="93">
        <f t="shared" si="12"/>
        <v>36</v>
      </c>
      <c r="D38" s="105" t="s">
        <v>210</v>
      </c>
      <c r="E38" s="105" t="s">
        <v>60</v>
      </c>
      <c r="F38" s="106" t="s">
        <v>211</v>
      </c>
      <c r="G38" s="97">
        <v>83793</v>
      </c>
      <c r="H38" s="79" t="s">
        <v>212</v>
      </c>
      <c r="I38" s="80" t="s">
        <v>213</v>
      </c>
      <c r="J38" s="81">
        <v>31496</v>
      </c>
      <c r="K38" s="82">
        <v>0.01</v>
      </c>
      <c r="L38" s="83">
        <v>46076.31527777778</v>
      </c>
      <c r="M38" s="83">
        <v>46076.381944444445</v>
      </c>
      <c r="N38" s="107" t="s">
        <v>214</v>
      </c>
      <c r="O38" s="88" t="s">
        <v>115</v>
      </c>
    </row>
    <row r="39" spans="1:15" s="77" customFormat="1" ht="12" x14ac:dyDescent="0.2">
      <c r="A39" s="92">
        <v>46076</v>
      </c>
      <c r="B39" s="78">
        <v>2</v>
      </c>
      <c r="C39" s="93">
        <f t="shared" si="12"/>
        <v>37</v>
      </c>
      <c r="D39" s="105" t="s">
        <v>210</v>
      </c>
      <c r="E39" s="105" t="s">
        <v>60</v>
      </c>
      <c r="F39" s="106" t="s">
        <v>215</v>
      </c>
      <c r="G39" s="97">
        <v>83803</v>
      </c>
      <c r="H39" s="79" t="s">
        <v>212</v>
      </c>
      <c r="I39" s="80" t="s">
        <v>213</v>
      </c>
      <c r="J39" s="81">
        <v>31831</v>
      </c>
      <c r="K39" s="82">
        <v>0.01</v>
      </c>
      <c r="L39" s="83">
        <v>46076.46875</v>
      </c>
      <c r="M39" s="83">
        <v>46076.491666666669</v>
      </c>
      <c r="N39" s="107" t="s">
        <v>216</v>
      </c>
      <c r="O39" s="88" t="s">
        <v>115</v>
      </c>
    </row>
    <row r="40" spans="1:15" s="77" customFormat="1" ht="12" x14ac:dyDescent="0.2">
      <c r="A40" s="92">
        <v>46076</v>
      </c>
      <c r="B40" s="78">
        <v>2</v>
      </c>
      <c r="C40" s="93">
        <f t="shared" si="12"/>
        <v>38</v>
      </c>
      <c r="D40" s="105" t="s">
        <v>210</v>
      </c>
      <c r="E40" s="105" t="s">
        <v>60</v>
      </c>
      <c r="F40" s="106" t="s">
        <v>217</v>
      </c>
      <c r="G40" s="97">
        <v>83806</v>
      </c>
      <c r="H40" s="79" t="s">
        <v>218</v>
      </c>
      <c r="I40" s="80" t="s">
        <v>213</v>
      </c>
      <c r="J40" s="81">
        <v>34477</v>
      </c>
      <c r="K40" s="82">
        <v>0.01</v>
      </c>
      <c r="L40" s="83">
        <v>46076.489583333336</v>
      </c>
      <c r="M40" s="83">
        <v>46076.536805555559</v>
      </c>
      <c r="N40" s="107" t="s">
        <v>219</v>
      </c>
      <c r="O40" s="88" t="s">
        <v>115</v>
      </c>
    </row>
    <row r="41" spans="1:15" s="77" customFormat="1" ht="12" x14ac:dyDescent="0.2">
      <c r="A41" s="92">
        <v>46076</v>
      </c>
      <c r="B41" s="78">
        <v>2</v>
      </c>
      <c r="C41" s="93">
        <f t="shared" si="12"/>
        <v>39</v>
      </c>
      <c r="D41" s="80" t="s">
        <v>210</v>
      </c>
      <c r="E41" s="80" t="s">
        <v>60</v>
      </c>
      <c r="F41" s="85" t="s">
        <v>220</v>
      </c>
      <c r="G41" s="97">
        <v>83794</v>
      </c>
      <c r="H41" s="79" t="s">
        <v>221</v>
      </c>
      <c r="I41" s="80" t="s">
        <v>213</v>
      </c>
      <c r="J41" s="81">
        <v>39611</v>
      </c>
      <c r="K41" s="82">
        <v>0.01</v>
      </c>
      <c r="L41" s="83">
        <v>46076.583333333336</v>
      </c>
      <c r="M41" s="83"/>
      <c r="N41" s="84" t="s">
        <v>121</v>
      </c>
      <c r="O41" s="88" t="s">
        <v>115</v>
      </c>
    </row>
    <row r="42" spans="1:15" s="77" customFormat="1" ht="12" x14ac:dyDescent="0.2">
      <c r="A42" s="92">
        <v>46076</v>
      </c>
      <c r="B42" s="78">
        <v>2</v>
      </c>
      <c r="C42" s="93">
        <f t="shared" ref="C42:C44" si="13">IF(A42=A41,C41+1,1)</f>
        <v>40</v>
      </c>
      <c r="D42" s="105" t="s">
        <v>222</v>
      </c>
      <c r="E42" s="105" t="s">
        <v>60</v>
      </c>
      <c r="F42" s="106" t="s">
        <v>223</v>
      </c>
      <c r="G42" s="97">
        <v>59275</v>
      </c>
      <c r="H42" s="79" t="s">
        <v>224</v>
      </c>
      <c r="I42" s="80" t="s">
        <v>60</v>
      </c>
      <c r="J42" s="81">
        <v>1935</v>
      </c>
      <c r="K42" s="82">
        <v>422900</v>
      </c>
      <c r="L42" s="83">
        <v>46076.359722222223</v>
      </c>
      <c r="M42" s="83">
        <v>46076.4375</v>
      </c>
      <c r="N42" s="107" t="s">
        <v>225</v>
      </c>
      <c r="O42" s="80" t="s">
        <v>226</v>
      </c>
    </row>
    <row r="43" spans="1:15" s="77" customFormat="1" ht="12" x14ac:dyDescent="0.2">
      <c r="A43" s="92">
        <v>46076</v>
      </c>
      <c r="B43" s="78">
        <v>2</v>
      </c>
      <c r="C43" s="93">
        <f t="shared" si="13"/>
        <v>41</v>
      </c>
      <c r="D43" s="80" t="s">
        <v>227</v>
      </c>
      <c r="E43" s="80" t="s">
        <v>60</v>
      </c>
      <c r="F43" s="85" t="s">
        <v>228</v>
      </c>
      <c r="G43" s="104">
        <v>60315</v>
      </c>
      <c r="H43" s="79" t="s">
        <v>221</v>
      </c>
      <c r="I43" s="80" t="s">
        <v>229</v>
      </c>
      <c r="J43" s="81">
        <v>21000</v>
      </c>
      <c r="K43" s="82">
        <v>89300</v>
      </c>
      <c r="L43" s="83">
        <v>46074.802083333336</v>
      </c>
      <c r="M43" s="83"/>
      <c r="N43" s="84" t="s">
        <v>121</v>
      </c>
      <c r="O43" s="80" t="s">
        <v>115</v>
      </c>
    </row>
    <row r="44" spans="1:15" s="77" customFormat="1" ht="11.25" customHeight="1" x14ac:dyDescent="0.2">
      <c r="A44" s="92">
        <v>46076</v>
      </c>
      <c r="B44" s="78">
        <v>2</v>
      </c>
      <c r="C44" s="93">
        <f t="shared" si="13"/>
        <v>42</v>
      </c>
      <c r="D44" s="80"/>
      <c r="E44" s="80"/>
      <c r="F44" s="95"/>
      <c r="G44" s="91"/>
      <c r="H44" s="86"/>
      <c r="I44" s="87"/>
      <c r="J44" s="81"/>
      <c r="K44" s="90"/>
      <c r="L44" s="89"/>
      <c r="M44" s="89"/>
      <c r="N44" s="103"/>
      <c r="O44" s="80"/>
    </row>
    <row r="149" spans="1:1" ht="12.75" customHeight="1" x14ac:dyDescent="0.2">
      <c r="A149" s="72" t="s">
        <v>121</v>
      </c>
    </row>
    <row r="362" spans="6:35" ht="12.75" customHeight="1" x14ac:dyDescent="0.2">
      <c r="F362" s="64" t="s">
        <v>230</v>
      </c>
      <c r="AI362" s="62" t="s">
        <v>231</v>
      </c>
    </row>
  </sheetData>
  <sheetProtection formatCells="0" formatColumns="0" formatRows="0" insertColumns="0" insertRows="0" insertHyperlinks="0" deleteColumns="0" deleteRows="0" sort="0" autoFilter="0" pivotTables="0"/>
  <autoFilter ref="A1:O44" xr:uid="{00000000-0001-0000-0600-000000000000}"/>
  <phoneticPr fontId="15" type="noConversion"/>
  <printOptions horizontalCentered="1" headings="1" gridLines="1"/>
  <pageMargins left="0.7" right="0.7" top="0.75" bottom="0.75" header="0.3" footer="0.3"/>
  <pageSetup paperSize="9" scale="41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MAPA DE EMBARQUE</vt:lpstr>
      <vt:lpstr>MAPA2 </vt:lpstr>
      <vt:lpstr>Plan4</vt:lpstr>
      <vt:lpstr>PLAN1</vt:lpstr>
      <vt:lpstr>'MAPA DE EMBARQUE'!Area_de_impressao</vt:lpstr>
      <vt:lpstr>'MAPA2 '!Area_de_impressao</vt:lpstr>
      <vt:lpstr>PLAN1!Area_de_impressao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Office</cp:lastModifiedBy>
  <cp:revision/>
  <dcterms:created xsi:type="dcterms:W3CDTF">2007-11-09T11:11:01Z</dcterms:created>
  <dcterms:modified xsi:type="dcterms:W3CDTF">2026-02-23T20:13:34Z</dcterms:modified>
  <cp:category/>
  <cp:contentStatus/>
</cp:coreProperties>
</file>