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9E27FEEB-C0B5-4A20-93D8-1E6476C25B97}" xr6:coauthVersionLast="47" xr6:coauthVersionMax="47" xr10:uidLastSave="{00000000-0000-0000-0000-000000000000}"/>
  <bookViews>
    <workbookView xWindow="-108" yWindow="-108" windowWidth="23256" windowHeight="12456" xr2:uid="{E51F466C-A4FD-471D-8346-2721E86AD693}"/>
  </bookViews>
  <sheets>
    <sheet name="Planilha1" sheetId="1" r:id="rId1"/>
  </sheets>
  <externalReferences>
    <externalReference r:id="rId2"/>
  </externalReferences>
  <definedNames>
    <definedName name="_lFornecedores">[1]!tFornecedores[Nome]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Q26" i="1"/>
  <c r="P26" i="1"/>
  <c r="O26" i="1"/>
  <c r="N26" i="1"/>
  <c r="M26" i="1"/>
  <c r="L26" i="1"/>
  <c r="K26" i="1"/>
  <c r="J26" i="1"/>
  <c r="I26" i="1"/>
  <c r="H26" i="1"/>
  <c r="G26" i="1"/>
</calcChain>
</file>

<file path=xl/sharedStrings.xml><?xml version="1.0" encoding="utf-8"?>
<sst xmlns="http://schemas.openxmlformats.org/spreadsheetml/2006/main" count="60" uniqueCount="59">
  <si>
    <t>Apartamento</t>
  </si>
  <si>
    <t>Proprietario</t>
  </si>
  <si>
    <t>Vencimento</t>
  </si>
  <si>
    <t>Dt Pag/Rec.</t>
  </si>
  <si>
    <t>Valor Do Comdominio</t>
  </si>
  <si>
    <t>Despesas</t>
  </si>
  <si>
    <t>Valor De Despesas</t>
  </si>
  <si>
    <t>101-A</t>
  </si>
  <si>
    <t>102-A</t>
  </si>
  <si>
    <t>MARILIA</t>
  </si>
  <si>
    <t>103-A</t>
  </si>
  <si>
    <t>BATISTA</t>
  </si>
  <si>
    <t>104-A</t>
  </si>
  <si>
    <t>SANDRINE</t>
  </si>
  <si>
    <t>201-A</t>
  </si>
  <si>
    <t>PERLA</t>
  </si>
  <si>
    <t>202-A</t>
  </si>
  <si>
    <t>LEANDRO</t>
  </si>
  <si>
    <t>203-A</t>
  </si>
  <si>
    <t>WESLEY</t>
  </si>
  <si>
    <t>204-A</t>
  </si>
  <si>
    <t>SEBASTIÃO</t>
  </si>
  <si>
    <t>301-A</t>
  </si>
  <si>
    <t>PAULO</t>
  </si>
  <si>
    <t>302-A</t>
  </si>
  <si>
    <t>BEATRICIA</t>
  </si>
  <si>
    <t>303-A</t>
  </si>
  <si>
    <t>ALEIXO</t>
  </si>
  <si>
    <t>304-A</t>
  </si>
  <si>
    <t>THAYANAN</t>
  </si>
  <si>
    <t>101-B</t>
  </si>
  <si>
    <t>ELIVALDO</t>
  </si>
  <si>
    <t>102-B</t>
  </si>
  <si>
    <t>CARLOS</t>
  </si>
  <si>
    <t>103-B</t>
  </si>
  <si>
    <t>WELLINGTON</t>
  </si>
  <si>
    <t>ISENTO</t>
  </si>
  <si>
    <t>104-B</t>
  </si>
  <si>
    <t>JULIO</t>
  </si>
  <si>
    <t>201-B</t>
  </si>
  <si>
    <t>KLEYTON</t>
  </si>
  <si>
    <t>202-B</t>
  </si>
  <si>
    <t>EISRAEL</t>
  </si>
  <si>
    <t>203-B</t>
  </si>
  <si>
    <t>PERICLES</t>
  </si>
  <si>
    <t>204-B</t>
  </si>
  <si>
    <t>RILDO</t>
  </si>
  <si>
    <t>301-B</t>
  </si>
  <si>
    <t>VIRGINHA</t>
  </si>
  <si>
    <t>302-B</t>
  </si>
  <si>
    <t>JOELSON</t>
  </si>
  <si>
    <t>303-B</t>
  </si>
  <si>
    <t>ANDRADE</t>
  </si>
  <si>
    <t>304-B</t>
  </si>
  <si>
    <t>RAFAEL</t>
  </si>
  <si>
    <t>SILVIE</t>
  </si>
  <si>
    <t>BLOCO A</t>
  </si>
  <si>
    <t>BLOCO B</t>
  </si>
  <si>
    <t>TOTAL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</si>
</sst>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8" fontId="0" fillId="0" borderId="1" xfId="0" applyNumberFormat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7" fontId="2" fillId="2" borderId="1" xfId="0" applyNumberFormat="1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vertical="center"/>
    </xf>
    <xf numFmtId="8" fontId="0" fillId="0" borderId="10" xfId="0" applyNumberFormat="1" applyBorder="1" applyAlignment="1">
      <alignment vertical="center"/>
    </xf>
    <xf numFmtId="0" fontId="0" fillId="0" borderId="1" xfId="0" applyBorder="1"/>
    <xf numFmtId="8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textRotation="255"/>
    </xf>
    <xf numFmtId="0" fontId="2" fillId="0" borderId="5" xfId="0" applyFont="1" applyBorder="1" applyAlignment="1">
      <alignment horizontal="center" textRotation="255"/>
    </xf>
    <xf numFmtId="0" fontId="2" fillId="0" borderId="6" xfId="0" applyFont="1" applyBorder="1" applyAlignment="1">
      <alignment horizontal="center" textRotation="255"/>
    </xf>
    <xf numFmtId="0" fontId="2" fillId="0" borderId="7" xfId="0" applyFont="1" applyBorder="1" applyAlignment="1">
      <alignment horizontal="center" textRotation="255"/>
    </xf>
    <xf numFmtId="0" fontId="2" fillId="0" borderId="8" xfId="0" applyFont="1" applyBorder="1" applyAlignment="1">
      <alignment horizontal="center" textRotation="255"/>
    </xf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vertical="center"/>
    </xf>
    <xf numFmtId="164" fontId="1" fillId="0" borderId="1" xfId="1" applyNumberFormat="1" applyFont="1" applyBorder="1" applyAlignment="1">
      <alignment vertical="center"/>
    </xf>
    <xf numFmtId="164" fontId="0" fillId="0" borderId="10" xfId="1" applyNumberFormat="1" applyFont="1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2" fontId="0" fillId="0" borderId="10" xfId="0" applyNumberFormat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bastiaom\Desktop\Condominio.xlsx" TargetMode="External"/><Relationship Id="rId1" Type="http://schemas.openxmlformats.org/officeDocument/2006/relationships/externalLinkPath" Target="/Users/sebastiaom/Desktop/Condomi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latórios"/>
      <sheetName val="Cadastros"/>
      <sheetName val="Condomínios"/>
      <sheetName val="Fornecedores"/>
      <sheetName val="Unidades"/>
      <sheetName val="Grupo a pagar"/>
      <sheetName val="Grupo a receber"/>
      <sheetName val="Configurações de Infrações"/>
      <sheetName val="Infrações Menu"/>
      <sheetName val="Infrações"/>
      <sheetName val="Financeiro"/>
      <sheetName val="Relatório Financeiro"/>
      <sheetName val="Imprimir Infração"/>
      <sheetName val="Configurações"/>
      <sheetName val="Condomin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361B-007F-4D5D-99BF-80C3C1A7F247}">
  <dimension ref="A1:T26"/>
  <sheetViews>
    <sheetView tabSelected="1" topLeftCell="B1" zoomScale="90" zoomScaleNormal="90" workbookViewId="0">
      <selection activeCell="G4" sqref="G4"/>
    </sheetView>
  </sheetViews>
  <sheetFormatPr defaultRowHeight="14.4" x14ac:dyDescent="0.3"/>
  <cols>
    <col min="2" max="2" width="12.44140625" bestFit="1" customWidth="1"/>
    <col min="3" max="3" width="12.5546875" bestFit="1" customWidth="1"/>
    <col min="4" max="4" width="11.44140625" bestFit="1" customWidth="1"/>
    <col min="5" max="5" width="13.109375" customWidth="1"/>
    <col min="6" max="6" width="15.88671875" customWidth="1"/>
    <col min="7" max="7" width="11.6640625" bestFit="1" customWidth="1"/>
    <col min="8" max="8" width="10.5546875" bestFit="1" customWidth="1"/>
    <col min="9" max="9" width="8.33203125" customWidth="1"/>
    <col min="10" max="10" width="7.44140625" customWidth="1"/>
    <col min="11" max="11" width="9" customWidth="1"/>
    <col min="12" max="12" width="10.5546875" bestFit="1" customWidth="1"/>
    <col min="13" max="13" width="8.109375" customWidth="1"/>
    <col min="14" max="14" width="8.44140625" customWidth="1"/>
    <col min="15" max="15" width="7" customWidth="1"/>
    <col min="16" max="18" width="8.6640625" bestFit="1" customWidth="1"/>
    <col min="19" max="19" width="10.5546875" customWidth="1"/>
    <col min="20" max="20" width="17.6640625" bestFit="1" customWidth="1"/>
  </cols>
  <sheetData>
    <row r="1" spans="1:20" ht="40.5" customHeight="1" thickBot="1" x14ac:dyDescent="0.35">
      <c r="A1" s="15" t="s">
        <v>0</v>
      </c>
      <c r="B1" s="16"/>
      <c r="C1" s="5" t="s">
        <v>1</v>
      </c>
      <c r="D1" s="5" t="s">
        <v>2</v>
      </c>
      <c r="E1" s="5" t="s">
        <v>3</v>
      </c>
      <c r="F1" s="14" t="s">
        <v>4</v>
      </c>
      <c r="G1" s="6">
        <v>45658</v>
      </c>
      <c r="H1" s="6">
        <v>45689</v>
      </c>
      <c r="I1" s="6">
        <v>45717</v>
      </c>
      <c r="J1" s="6">
        <v>45748</v>
      </c>
      <c r="K1" s="6">
        <v>45778</v>
      </c>
      <c r="L1" s="6">
        <v>45809</v>
      </c>
      <c r="M1" s="6">
        <v>45839</v>
      </c>
      <c r="N1" s="6">
        <v>45870</v>
      </c>
      <c r="O1" s="6">
        <v>45901</v>
      </c>
      <c r="P1" s="6">
        <v>45931</v>
      </c>
      <c r="Q1" s="6">
        <v>45962</v>
      </c>
      <c r="R1" s="6">
        <v>45992</v>
      </c>
      <c r="S1" s="5" t="s">
        <v>5</v>
      </c>
      <c r="T1" s="5" t="s">
        <v>6</v>
      </c>
    </row>
    <row r="2" spans="1:20" x14ac:dyDescent="0.3">
      <c r="A2" s="17" t="s">
        <v>56</v>
      </c>
      <c r="B2" s="7" t="s">
        <v>7</v>
      </c>
      <c r="C2" s="1" t="s">
        <v>55</v>
      </c>
      <c r="D2" s="2">
        <v>45662</v>
      </c>
      <c r="E2" s="2"/>
      <c r="F2" s="3">
        <v>80</v>
      </c>
      <c r="G2" s="3"/>
      <c r="H2" s="3"/>
      <c r="I2" s="3"/>
      <c r="J2" s="23"/>
      <c r="K2" s="3"/>
      <c r="L2" s="3"/>
      <c r="M2" s="3"/>
      <c r="N2" s="3"/>
      <c r="O2" s="26"/>
      <c r="P2" s="3"/>
      <c r="Q2" s="3"/>
      <c r="R2" s="3"/>
      <c r="S2" s="3"/>
      <c r="T2" s="3">
        <v>0</v>
      </c>
    </row>
    <row r="3" spans="1:20" x14ac:dyDescent="0.3">
      <c r="A3" s="18"/>
      <c r="B3" s="7" t="s">
        <v>8</v>
      </c>
      <c r="C3" s="1" t="s">
        <v>9</v>
      </c>
      <c r="D3" s="2">
        <v>45662</v>
      </c>
      <c r="E3" s="2"/>
      <c r="F3" s="3">
        <v>80</v>
      </c>
      <c r="G3" s="3"/>
      <c r="H3" s="3"/>
      <c r="I3" s="3"/>
      <c r="J3" s="23"/>
      <c r="K3" s="3"/>
      <c r="L3" s="3"/>
      <c r="M3" s="3"/>
      <c r="N3" s="3"/>
      <c r="O3" s="26"/>
      <c r="P3" s="3"/>
      <c r="Q3" s="3"/>
      <c r="R3" s="3"/>
      <c r="S3" s="3"/>
      <c r="T3" s="3">
        <v>0</v>
      </c>
    </row>
    <row r="4" spans="1:20" x14ac:dyDescent="0.3">
      <c r="A4" s="18"/>
      <c r="B4" s="7" t="s">
        <v>10</v>
      </c>
      <c r="C4" s="1" t="s">
        <v>11</v>
      </c>
      <c r="D4" s="2">
        <v>45662</v>
      </c>
      <c r="E4" s="2"/>
      <c r="F4" s="3">
        <v>80</v>
      </c>
      <c r="G4" s="3"/>
      <c r="H4" s="3"/>
      <c r="I4" s="3"/>
      <c r="J4" s="23"/>
      <c r="K4" s="3"/>
      <c r="L4" s="3"/>
      <c r="M4" s="3"/>
      <c r="N4" s="3"/>
      <c r="O4" s="26"/>
      <c r="P4" s="3"/>
      <c r="Q4" s="3"/>
      <c r="R4" s="3"/>
      <c r="S4" s="3"/>
      <c r="T4" s="3">
        <v>0</v>
      </c>
    </row>
    <row r="5" spans="1:20" x14ac:dyDescent="0.3">
      <c r="A5" s="18"/>
      <c r="B5" s="7" t="s">
        <v>12</v>
      </c>
      <c r="C5" s="1" t="s">
        <v>13</v>
      </c>
      <c r="D5" s="2">
        <v>45662</v>
      </c>
      <c r="E5" s="2"/>
      <c r="F5" s="3">
        <v>80</v>
      </c>
      <c r="G5" s="3"/>
      <c r="H5" s="3"/>
      <c r="I5" s="3"/>
      <c r="J5" s="23"/>
      <c r="K5" s="3"/>
      <c r="L5" s="3"/>
      <c r="M5" s="3"/>
      <c r="N5" s="3"/>
      <c r="O5" s="26"/>
      <c r="P5" s="3"/>
      <c r="Q5" s="3"/>
      <c r="R5" s="3"/>
      <c r="S5" s="3"/>
      <c r="T5" s="3">
        <v>0</v>
      </c>
    </row>
    <row r="6" spans="1:20" x14ac:dyDescent="0.3">
      <c r="A6" s="18"/>
      <c r="B6" s="7" t="s">
        <v>14</v>
      </c>
      <c r="C6" s="1" t="s">
        <v>15</v>
      </c>
      <c r="D6" s="2">
        <v>45662</v>
      </c>
      <c r="E6" s="2"/>
      <c r="F6" s="3">
        <v>80</v>
      </c>
      <c r="G6" s="3"/>
      <c r="H6" s="3"/>
      <c r="I6" s="3"/>
      <c r="J6" s="23"/>
      <c r="K6" s="3"/>
      <c r="L6" s="3"/>
      <c r="M6" s="3"/>
      <c r="N6" s="3"/>
      <c r="O6" s="26"/>
      <c r="P6" s="3"/>
      <c r="Q6" s="3"/>
      <c r="R6" s="3"/>
      <c r="S6" s="3"/>
      <c r="T6" s="3">
        <v>0</v>
      </c>
    </row>
    <row r="7" spans="1:20" x14ac:dyDescent="0.3">
      <c r="A7" s="18"/>
      <c r="B7" s="7" t="s">
        <v>16</v>
      </c>
      <c r="C7" s="1" t="s">
        <v>17</v>
      </c>
      <c r="D7" s="2">
        <v>45662</v>
      </c>
      <c r="E7" s="2"/>
      <c r="F7" s="3">
        <v>80</v>
      </c>
      <c r="G7" s="3"/>
      <c r="H7" s="3"/>
      <c r="I7" s="3"/>
      <c r="J7" s="23"/>
      <c r="K7" s="3"/>
      <c r="L7" s="3"/>
      <c r="M7" s="3"/>
      <c r="N7" s="3"/>
      <c r="O7" s="26"/>
      <c r="P7" s="3"/>
      <c r="Q7" s="3"/>
      <c r="R7" s="3"/>
      <c r="S7" s="3"/>
      <c r="T7" s="3">
        <v>0</v>
      </c>
    </row>
    <row r="8" spans="1:20" x14ac:dyDescent="0.3">
      <c r="A8" s="18"/>
      <c r="B8" s="7" t="s">
        <v>18</v>
      </c>
      <c r="C8" s="1" t="s">
        <v>19</v>
      </c>
      <c r="D8" s="2">
        <v>45662</v>
      </c>
      <c r="E8" s="2"/>
      <c r="F8" s="3">
        <v>80</v>
      </c>
      <c r="G8" s="3"/>
      <c r="H8" s="3"/>
      <c r="I8" s="3"/>
      <c r="J8" s="23"/>
      <c r="K8" s="3"/>
      <c r="L8" s="3"/>
      <c r="M8" s="3"/>
      <c r="N8" s="3"/>
      <c r="O8" s="26"/>
      <c r="P8" s="3"/>
      <c r="Q8" s="3"/>
      <c r="R8" s="3"/>
      <c r="S8" s="3"/>
      <c r="T8" s="3">
        <v>0</v>
      </c>
    </row>
    <row r="9" spans="1:20" x14ac:dyDescent="0.3">
      <c r="A9" s="18"/>
      <c r="B9" s="7" t="s">
        <v>20</v>
      </c>
      <c r="C9" s="1" t="s">
        <v>21</v>
      </c>
      <c r="D9" s="2">
        <v>45662</v>
      </c>
      <c r="E9" s="2"/>
      <c r="F9" s="3">
        <v>80</v>
      </c>
      <c r="G9" s="3"/>
      <c r="H9" s="3"/>
      <c r="I9" s="3"/>
      <c r="J9" s="23"/>
      <c r="K9" s="3"/>
      <c r="L9" s="3"/>
      <c r="M9" s="3"/>
      <c r="N9" s="3"/>
      <c r="O9" s="26"/>
      <c r="P9" s="3"/>
      <c r="Q9" s="3"/>
      <c r="R9" s="3"/>
      <c r="S9" s="3"/>
      <c r="T9" s="3">
        <v>0</v>
      </c>
    </row>
    <row r="10" spans="1:20" x14ac:dyDescent="0.3">
      <c r="A10" s="18"/>
      <c r="B10" s="7" t="s">
        <v>22</v>
      </c>
      <c r="C10" s="1" t="s">
        <v>23</v>
      </c>
      <c r="D10" s="2">
        <v>45662</v>
      </c>
      <c r="E10" s="2"/>
      <c r="F10" s="3">
        <v>80</v>
      </c>
      <c r="G10" s="3"/>
      <c r="H10" s="3"/>
      <c r="I10" s="3"/>
      <c r="J10" s="23"/>
      <c r="K10" s="3"/>
      <c r="L10" s="3"/>
      <c r="M10" s="3"/>
      <c r="N10" s="3"/>
      <c r="O10" s="26"/>
      <c r="P10" s="3"/>
      <c r="Q10" s="3"/>
      <c r="R10" s="3"/>
      <c r="S10" s="3"/>
      <c r="T10" s="3">
        <v>0</v>
      </c>
    </row>
    <row r="11" spans="1:20" x14ac:dyDescent="0.3">
      <c r="A11" s="18"/>
      <c r="B11" s="7" t="s">
        <v>24</v>
      </c>
      <c r="C11" s="1" t="s">
        <v>25</v>
      </c>
      <c r="D11" s="2">
        <v>45662</v>
      </c>
      <c r="E11" s="2"/>
      <c r="F11" s="3">
        <v>80</v>
      </c>
      <c r="G11" s="3"/>
      <c r="H11" s="3"/>
      <c r="I11" s="3"/>
      <c r="J11" s="23"/>
      <c r="K11" s="3"/>
      <c r="L11" s="3"/>
      <c r="M11" s="3"/>
      <c r="N11" s="3"/>
      <c r="O11" s="26"/>
      <c r="P11" s="3"/>
      <c r="Q11" s="3"/>
      <c r="R11" s="3"/>
      <c r="S11" s="3"/>
      <c r="T11" s="3">
        <v>0</v>
      </c>
    </row>
    <row r="12" spans="1:20" x14ac:dyDescent="0.3">
      <c r="A12" s="18"/>
      <c r="B12" s="7" t="s">
        <v>26</v>
      </c>
      <c r="C12" s="1" t="s">
        <v>27</v>
      </c>
      <c r="D12" s="2">
        <v>45662</v>
      </c>
      <c r="E12" s="2"/>
      <c r="F12" s="3">
        <v>80</v>
      </c>
      <c r="G12" s="3"/>
      <c r="H12" s="3"/>
      <c r="I12" s="3"/>
      <c r="J12" s="23"/>
      <c r="K12" s="3"/>
      <c r="L12" s="3"/>
      <c r="M12" s="3"/>
      <c r="N12" s="3"/>
      <c r="O12" s="26"/>
      <c r="P12" s="3"/>
      <c r="Q12" s="3"/>
      <c r="R12" s="3"/>
      <c r="S12" s="3"/>
      <c r="T12" s="3">
        <v>0</v>
      </c>
    </row>
    <row r="13" spans="1:20" ht="15" thickBot="1" x14ac:dyDescent="0.35">
      <c r="A13" s="19"/>
      <c r="B13" s="7" t="s">
        <v>28</v>
      </c>
      <c r="C13" s="1" t="s">
        <v>29</v>
      </c>
      <c r="D13" s="2">
        <v>45662</v>
      </c>
      <c r="E13" s="2"/>
      <c r="F13" s="3">
        <v>80</v>
      </c>
      <c r="G13" s="3"/>
      <c r="H13" s="3"/>
      <c r="I13" s="3"/>
      <c r="J13" s="23"/>
      <c r="K13" s="3"/>
      <c r="L13" s="3"/>
      <c r="M13" s="3"/>
      <c r="N13" s="3"/>
      <c r="O13" s="26"/>
      <c r="P13" s="3"/>
      <c r="Q13" s="3"/>
      <c r="R13" s="3"/>
      <c r="S13" s="3"/>
      <c r="T13" s="3">
        <v>0</v>
      </c>
    </row>
    <row r="14" spans="1:20" x14ac:dyDescent="0.3">
      <c r="A14" s="20" t="s">
        <v>57</v>
      </c>
      <c r="B14" s="7" t="s">
        <v>30</v>
      </c>
      <c r="C14" s="1" t="s">
        <v>31</v>
      </c>
      <c r="D14" s="2">
        <v>45662</v>
      </c>
      <c r="E14" s="2"/>
      <c r="F14" s="3">
        <v>80</v>
      </c>
      <c r="G14" s="3"/>
      <c r="H14" s="3"/>
      <c r="I14" s="3"/>
      <c r="J14" s="23"/>
      <c r="K14" s="3"/>
      <c r="L14" s="3"/>
      <c r="M14" s="3"/>
      <c r="N14" s="3"/>
      <c r="O14" s="26"/>
      <c r="P14" s="3"/>
      <c r="Q14" s="3"/>
      <c r="R14" s="3"/>
      <c r="S14" s="3"/>
      <c r="T14" s="3">
        <v>0</v>
      </c>
    </row>
    <row r="15" spans="1:20" x14ac:dyDescent="0.3">
      <c r="A15" s="21"/>
      <c r="B15" s="7" t="s">
        <v>32</v>
      </c>
      <c r="C15" s="1" t="s">
        <v>33</v>
      </c>
      <c r="D15" s="2">
        <v>45662</v>
      </c>
      <c r="E15" s="2"/>
      <c r="F15" s="3">
        <v>80</v>
      </c>
      <c r="G15" s="3"/>
      <c r="H15" s="3"/>
      <c r="I15" s="3"/>
      <c r="J15" s="23"/>
      <c r="K15" s="3"/>
      <c r="L15" s="3"/>
      <c r="M15" s="3"/>
      <c r="N15" s="3"/>
      <c r="O15" s="26"/>
      <c r="P15" s="3"/>
      <c r="Q15" s="3"/>
      <c r="R15" s="3"/>
      <c r="S15" s="3"/>
      <c r="T15" s="3">
        <v>0</v>
      </c>
    </row>
    <row r="16" spans="1:20" x14ac:dyDescent="0.3">
      <c r="A16" s="21"/>
      <c r="B16" s="7" t="s">
        <v>34</v>
      </c>
      <c r="C16" s="1" t="s">
        <v>35</v>
      </c>
      <c r="D16" s="4" t="s">
        <v>36</v>
      </c>
      <c r="E16" s="4" t="s">
        <v>36</v>
      </c>
      <c r="F16" s="3">
        <v>80</v>
      </c>
      <c r="G16" s="3"/>
      <c r="H16" s="13">
        <v>0</v>
      </c>
      <c r="I16" s="13">
        <v>0</v>
      </c>
      <c r="J16" s="24">
        <v>0</v>
      </c>
      <c r="K16" s="13">
        <v>0</v>
      </c>
      <c r="L16" s="13">
        <v>0</v>
      </c>
      <c r="M16" s="13">
        <v>0</v>
      </c>
      <c r="N16" s="13">
        <v>0</v>
      </c>
      <c r="O16" s="27">
        <v>0</v>
      </c>
      <c r="P16" s="13">
        <v>0</v>
      </c>
      <c r="Q16" s="13">
        <v>0</v>
      </c>
      <c r="R16" s="13">
        <v>0</v>
      </c>
      <c r="S16" s="3"/>
      <c r="T16" s="3">
        <v>0</v>
      </c>
    </row>
    <row r="17" spans="1:20" x14ac:dyDescent="0.3">
      <c r="A17" s="21"/>
      <c r="B17" s="7" t="s">
        <v>37</v>
      </c>
      <c r="C17" s="1" t="s">
        <v>38</v>
      </c>
      <c r="D17" s="2">
        <v>45662</v>
      </c>
      <c r="E17" s="2"/>
      <c r="F17" s="3">
        <v>80</v>
      </c>
      <c r="G17" s="3"/>
      <c r="H17" s="3"/>
      <c r="I17" s="3"/>
      <c r="J17" s="23"/>
      <c r="K17" s="3"/>
      <c r="L17" s="3"/>
      <c r="M17" s="3"/>
      <c r="N17" s="3"/>
      <c r="O17" s="26"/>
      <c r="P17" s="3"/>
      <c r="Q17" s="3"/>
      <c r="R17" s="3"/>
      <c r="S17" s="3"/>
      <c r="T17" s="3">
        <v>0</v>
      </c>
    </row>
    <row r="18" spans="1:20" x14ac:dyDescent="0.3">
      <c r="A18" s="21"/>
      <c r="B18" s="7" t="s">
        <v>39</v>
      </c>
      <c r="C18" s="1" t="s">
        <v>40</v>
      </c>
      <c r="D18" s="2">
        <v>45662</v>
      </c>
      <c r="E18" s="2"/>
      <c r="F18" s="3">
        <v>80</v>
      </c>
      <c r="G18" s="3"/>
      <c r="H18" s="3"/>
      <c r="I18" s="3"/>
      <c r="J18" s="23"/>
      <c r="K18" s="3"/>
      <c r="L18" s="3"/>
      <c r="M18" s="3"/>
      <c r="N18" s="3"/>
      <c r="O18" s="26"/>
      <c r="P18" s="3"/>
      <c r="Q18" s="3"/>
      <c r="R18" s="3"/>
      <c r="S18" s="3"/>
      <c r="T18" s="3">
        <v>0</v>
      </c>
    </row>
    <row r="19" spans="1:20" x14ac:dyDescent="0.3">
      <c r="A19" s="21"/>
      <c r="B19" s="7" t="s">
        <v>41</v>
      </c>
      <c r="C19" s="1" t="s">
        <v>42</v>
      </c>
      <c r="D19" s="2">
        <v>45662</v>
      </c>
      <c r="E19" s="2"/>
      <c r="F19" s="3">
        <v>80</v>
      </c>
      <c r="G19" s="3"/>
      <c r="H19" s="3"/>
      <c r="I19" s="3"/>
      <c r="J19" s="23"/>
      <c r="K19" s="3"/>
      <c r="L19" s="3"/>
      <c r="M19" s="3"/>
      <c r="N19" s="3"/>
      <c r="O19" s="26"/>
      <c r="P19" s="3"/>
      <c r="Q19" s="3"/>
      <c r="R19" s="3"/>
      <c r="S19" s="3"/>
      <c r="T19" s="3">
        <v>0</v>
      </c>
    </row>
    <row r="20" spans="1:20" x14ac:dyDescent="0.3">
      <c r="A20" s="21"/>
      <c r="B20" s="7" t="s">
        <v>43</v>
      </c>
      <c r="C20" s="1" t="s">
        <v>44</v>
      </c>
      <c r="D20" s="2">
        <v>45662</v>
      </c>
      <c r="E20" s="2"/>
      <c r="F20" s="3">
        <v>80</v>
      </c>
      <c r="G20" s="3"/>
      <c r="H20" s="3"/>
      <c r="I20" s="3"/>
      <c r="J20" s="23"/>
      <c r="K20" s="3"/>
      <c r="L20" s="3"/>
      <c r="M20" s="3"/>
      <c r="N20" s="3"/>
      <c r="O20" s="26"/>
      <c r="P20" s="3"/>
      <c r="Q20" s="3"/>
      <c r="R20" s="3"/>
      <c r="S20" s="3"/>
      <c r="T20" s="3">
        <v>0</v>
      </c>
    </row>
    <row r="21" spans="1:20" x14ac:dyDescent="0.3">
      <c r="A21" s="21"/>
      <c r="B21" s="7" t="s">
        <v>45</v>
      </c>
      <c r="C21" s="1" t="s">
        <v>46</v>
      </c>
      <c r="D21" s="2">
        <v>45662</v>
      </c>
      <c r="E21" s="2"/>
      <c r="F21" s="3">
        <v>80</v>
      </c>
      <c r="G21" s="3"/>
      <c r="H21" s="3"/>
      <c r="I21" s="3"/>
      <c r="J21" s="23"/>
      <c r="K21" s="3"/>
      <c r="L21" s="3"/>
      <c r="M21" s="3"/>
      <c r="N21" s="3"/>
      <c r="O21" s="26"/>
      <c r="P21" s="3"/>
      <c r="Q21" s="3"/>
      <c r="R21" s="3"/>
      <c r="S21" s="3"/>
      <c r="T21" s="3">
        <v>0</v>
      </c>
    </row>
    <row r="22" spans="1:20" x14ac:dyDescent="0.3">
      <c r="A22" s="21"/>
      <c r="B22" s="7" t="s">
        <v>47</v>
      </c>
      <c r="C22" s="1" t="s">
        <v>48</v>
      </c>
      <c r="D22" s="2">
        <v>45662</v>
      </c>
      <c r="E22" s="2"/>
      <c r="F22" s="3">
        <v>80</v>
      </c>
      <c r="G22" s="3"/>
      <c r="H22" s="3"/>
      <c r="I22" s="3"/>
      <c r="J22" s="23"/>
      <c r="K22" s="3"/>
      <c r="L22" s="3"/>
      <c r="M22" s="3"/>
      <c r="N22" s="3"/>
      <c r="O22" s="26"/>
      <c r="P22" s="3"/>
      <c r="Q22" s="3"/>
      <c r="R22" s="3"/>
      <c r="S22" s="3"/>
      <c r="T22" s="3">
        <v>0</v>
      </c>
    </row>
    <row r="23" spans="1:20" x14ac:dyDescent="0.3">
      <c r="A23" s="21"/>
      <c r="B23" s="7" t="s">
        <v>49</v>
      </c>
      <c r="C23" s="1" t="s">
        <v>50</v>
      </c>
      <c r="D23" s="2">
        <v>45662</v>
      </c>
      <c r="E23" s="2"/>
      <c r="F23" s="3">
        <v>80</v>
      </c>
      <c r="G23" s="3"/>
      <c r="H23" s="3"/>
      <c r="I23" s="3"/>
      <c r="J23" s="23"/>
      <c r="K23" s="3"/>
      <c r="L23" s="3"/>
      <c r="M23" s="3"/>
      <c r="N23" s="3"/>
      <c r="O23" s="26"/>
      <c r="P23" s="3"/>
      <c r="Q23" s="3"/>
      <c r="R23" s="3"/>
      <c r="S23" s="3"/>
      <c r="T23" s="3">
        <v>0</v>
      </c>
    </row>
    <row r="24" spans="1:20" x14ac:dyDescent="0.3">
      <c r="A24" s="21"/>
      <c r="B24" s="7" t="s">
        <v>51</v>
      </c>
      <c r="C24" s="1" t="s">
        <v>52</v>
      </c>
      <c r="D24" s="2">
        <v>45662</v>
      </c>
      <c r="E24" s="2"/>
      <c r="F24" s="3">
        <v>80</v>
      </c>
      <c r="G24" s="3"/>
      <c r="H24" s="3"/>
      <c r="I24" s="3"/>
      <c r="J24" s="23"/>
      <c r="K24" s="3"/>
      <c r="L24" s="3"/>
      <c r="M24" s="3"/>
      <c r="N24" s="3"/>
      <c r="O24" s="26"/>
      <c r="P24" s="3"/>
      <c r="Q24" s="3"/>
      <c r="R24" s="3"/>
      <c r="S24" s="3"/>
      <c r="T24" s="3">
        <v>0</v>
      </c>
    </row>
    <row r="25" spans="1:20" x14ac:dyDescent="0.3">
      <c r="A25" s="21"/>
      <c r="B25" s="8" t="s">
        <v>53</v>
      </c>
      <c r="C25" s="9" t="s">
        <v>54</v>
      </c>
      <c r="D25" s="10">
        <v>45662</v>
      </c>
      <c r="E25" s="10"/>
      <c r="F25" s="11">
        <v>80</v>
      </c>
      <c r="G25" s="3"/>
      <c r="H25" s="11"/>
      <c r="I25" s="11"/>
      <c r="J25" s="25"/>
      <c r="K25" s="11"/>
      <c r="L25" s="11"/>
      <c r="M25" s="11"/>
      <c r="N25" s="11"/>
      <c r="O25" s="28"/>
      <c r="P25" s="11"/>
      <c r="Q25" s="11"/>
      <c r="R25" s="11"/>
      <c r="S25" s="11"/>
      <c r="T25" s="11">
        <v>0</v>
      </c>
    </row>
    <row r="26" spans="1:20" x14ac:dyDescent="0.3">
      <c r="A26" s="22" t="s">
        <v>58</v>
      </c>
      <c r="B26" s="22"/>
      <c r="C26" s="22"/>
      <c r="D26" s="22"/>
      <c r="E26" s="22"/>
      <c r="F26" s="22"/>
      <c r="G26" s="3">
        <f>G2*G25+SUM(G2,G3:G25)</f>
        <v>0</v>
      </c>
      <c r="H26" s="3">
        <f>SUM(H2,H3:H25)</f>
        <v>0</v>
      </c>
      <c r="I26" s="3">
        <f>I2*I25+SUM(I2,I3:I25)</f>
        <v>0</v>
      </c>
      <c r="J26" s="3">
        <f>J2*J25+SUM(J2,J3:J25)</f>
        <v>0</v>
      </c>
      <c r="K26" s="3">
        <f>SUM(K2,K3:K25)</f>
        <v>0</v>
      </c>
      <c r="L26" s="3">
        <f>L2*L25+SUM(L2,L3:L25)</f>
        <v>0</v>
      </c>
      <c r="M26" s="3">
        <f>SUM(M2,M3:M25)</f>
        <v>0</v>
      </c>
      <c r="N26" s="3">
        <f>N2*N25+SUM(N2,N3:N25)</f>
        <v>0</v>
      </c>
      <c r="O26" s="26">
        <f>O2*O25+SUM(O2,O3:O25)</f>
        <v>0</v>
      </c>
      <c r="P26" s="3">
        <f>P2*P25+SUM(P2,P3:P25)</f>
        <v>0</v>
      </c>
      <c r="Q26" s="3">
        <f>Q2*Q25+SUM(Q2,Q3:Q25)</f>
        <v>0</v>
      </c>
      <c r="R26" s="3">
        <f>R2*R25+SUM(R2,R3:R25)</f>
        <v>0</v>
      </c>
      <c r="S26" s="12"/>
      <c r="T26" s="12"/>
    </row>
  </sheetData>
  <mergeCells count="4">
    <mergeCell ref="A1:B1"/>
    <mergeCell ref="A2:A13"/>
    <mergeCell ref="A14:A25"/>
    <mergeCell ref="A26:F26"/>
  </mergeCells>
  <dataValidations count="1">
    <dataValidation type="list" allowBlank="1" showInputMessage="1" showErrorMessage="1" sqref="B2:B25" xr:uid="{5D0B5B6B-11C0-4AA3-A3B8-B18EA3DFB922}">
      <formula1>_lFornecedores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Sebastião Henrique Monteiro Martins</dc:creator>
  <cp:lastModifiedBy>Eduardo da Silva Gonçalves</cp:lastModifiedBy>
  <dcterms:created xsi:type="dcterms:W3CDTF">2025-09-12T16:22:33Z</dcterms:created>
  <dcterms:modified xsi:type="dcterms:W3CDTF">2025-09-12T17:07:20Z</dcterms:modified>
</cp:coreProperties>
</file>