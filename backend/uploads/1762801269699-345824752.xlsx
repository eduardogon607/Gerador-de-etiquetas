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ombitransam-my.sharepoint.com/personal/renato_cordeiro_combitrans_com_br/Documents/03. PMO/03. Comercial/BI - Prospect/"/>
    </mc:Choice>
  </mc:AlternateContent>
  <xr:revisionPtr revIDLastSave="0" documentId="8_{9B39D569-4F9D-4C9B-A176-5995DF866250}" xr6:coauthVersionLast="47" xr6:coauthVersionMax="47" xr10:uidLastSave="{00000000-0000-0000-0000-000000000000}"/>
  <bookViews>
    <workbookView minimized="1" xWindow="4392" yWindow="4392" windowWidth="2388" windowHeight="564" firstSheet="3" activeTab="3" xr2:uid="{45DE7DC5-42AF-4C0F-BE27-DF7369D892CB}"/>
  </bookViews>
  <sheets>
    <sheet name="Antonio Sales" sheetId="1" r:id="rId1"/>
    <sheet name="Vitório" sheetId="3" r:id="rId2"/>
    <sheet name="Wellington Aleixo" sheetId="4" r:id="rId3"/>
    <sheet name="Wittemberg" sheetId="5" r:id="rId4"/>
  </sheets>
  <definedNames>
    <definedName name="_xlnm._FilterDatabase" localSheetId="0" hidden="1">'Antonio Sales'!$A$1:$F$57</definedName>
    <definedName name="_xlnm._FilterDatabase" localSheetId="1" hidden="1">Vitório!$A$1:$F$66</definedName>
    <definedName name="_xlnm._FilterDatabase" localSheetId="2" hidden="1">'Wellington Aleixo'!$A$1:$F$284</definedName>
    <definedName name="_xlnm._FilterDatabase" localSheetId="3" hidden="1">Wittemberg!$A$1:$F$73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3" l="1"/>
  <c r="E53" i="1"/>
  <c r="E6" i="3"/>
  <c r="E5" i="3"/>
</calcChain>
</file>

<file path=xl/sharedStrings.xml><?xml version="1.0" encoding="utf-8"?>
<sst xmlns="http://schemas.openxmlformats.org/spreadsheetml/2006/main" count="2061" uniqueCount="478">
  <si>
    <t>COMERCIAL</t>
  </si>
  <si>
    <t>CLIENTES</t>
  </si>
  <si>
    <t>REPORTS</t>
  </si>
  <si>
    <t>ANDAMENTOS</t>
  </si>
  <si>
    <t>ESTIMATIVA FAT.</t>
  </si>
  <si>
    <t>STATUS</t>
  </si>
  <si>
    <t>Antonio Sales</t>
  </si>
  <si>
    <t>CCGL</t>
  </si>
  <si>
    <r>
      <rPr>
        <sz val="8"/>
        <color rgb="FF000000"/>
        <rFont val="Arial"/>
      </rPr>
      <t xml:space="preserve"> Prospecção em andamento - contato realizado com o Jardel - </t>
    </r>
    <r>
      <rPr>
        <b/>
        <sz val="8"/>
        <color rgb="FF000000"/>
        <rFont val="Arial"/>
      </rPr>
      <t>FICARAM DE INICIAR O PILOTO NA SEMANA DO DIA 19/05</t>
    </r>
  </si>
  <si>
    <t>Contato inicial</t>
  </si>
  <si>
    <t>Cliente analisando uma proposta porta a porta para realizarmos um teste, coletando no armazém 69 e entregando no CD deles em Manaus/AM
Referente a carga de leite paletizado, cliente não concordou em realizarmos o teste de cargas batidas, pois não nos conhece.</t>
  </si>
  <si>
    <t>Negociações</t>
  </si>
  <si>
    <r>
      <rPr>
        <sz val="8"/>
        <color rgb="FF000000"/>
        <rFont val="Arial"/>
      </rPr>
      <t xml:space="preserve">Sem informação - </t>
    </r>
    <r>
      <rPr>
        <b/>
        <sz val="8"/>
        <color rgb="FF000000"/>
        <rFont val="Arial"/>
      </rPr>
      <t>DEVE OCORRER O TESTE PILOTO ESTA SEMANA</t>
    </r>
  </si>
  <si>
    <t>Stand by</t>
  </si>
  <si>
    <t>HYDRO</t>
  </si>
  <si>
    <r>
      <rPr>
        <sz val="8"/>
        <color rgb="FF000000"/>
        <rFont val="Arial"/>
      </rPr>
      <t>Tentativa de contato, mas sem sucesso -</t>
    </r>
    <r>
      <rPr>
        <b/>
        <sz val="8"/>
        <color rgb="FF000000"/>
        <rFont val="Arial"/>
      </rPr>
      <t xml:space="preserve"> PROCESSO NA FAZE FIINAL DE ASSINATURA DE CONTRATO</t>
    </r>
  </si>
  <si>
    <r>
      <rPr>
        <sz val="8"/>
        <color rgb="FF000000"/>
        <rFont val="Arial"/>
      </rPr>
      <t xml:space="preserve">Ainda não conseguiu contato - Hydro tem uma pendência do anexo B que não temos acesso e nem a média de valor da carga para modularmos o gerenciamento de riscos - </t>
    </r>
    <r>
      <rPr>
        <b/>
        <sz val="8"/>
        <color rgb="FF000000"/>
        <rFont val="Arial"/>
      </rPr>
      <t>IREMOS RECEBER JUNTO COM O CONTRATO</t>
    </r>
  </si>
  <si>
    <r>
      <rPr>
        <sz val="8"/>
        <color rgb="FF000000"/>
        <rFont val="Arial"/>
      </rPr>
      <t xml:space="preserve">Cliente infromou que será necessário uma visita técnica em Belém e Manaus
Precisaremos de um contratao com a Brasil Risck de gerenciamento para seguirmos com as negociações - </t>
    </r>
    <r>
      <rPr>
        <b/>
        <sz val="8"/>
        <color rgb="FF000000"/>
        <rFont val="Arial"/>
      </rPr>
      <t>TODAS AS ETAPAS FORAM VENCIDAS</t>
    </r>
  </si>
  <si>
    <t>LDC</t>
  </si>
  <si>
    <t>Prospecção em andamento - contato realizado Gustavo Henrique</t>
  </si>
  <si>
    <r>
      <rPr>
        <sz val="8"/>
        <color rgb="FF000000"/>
        <rFont val="Arial"/>
      </rPr>
      <t xml:space="preserve">Enviado proposta para o Gustavo Henrique, mas ainda não houve retorno - </t>
    </r>
    <r>
      <rPr>
        <b/>
        <sz val="8"/>
        <color rgb="FF000000"/>
        <rFont val="Arial"/>
      </rPr>
      <t>CLIENTE DECLINOU - PREFERIU CONTINIAR COM SUA LOGISTICA ATUAL</t>
    </r>
  </si>
  <si>
    <t>AZULÃO/ ELECNOR</t>
  </si>
  <si>
    <r>
      <rPr>
        <sz val="8"/>
        <color rgb="FF000000"/>
        <rFont val="Arial"/>
      </rPr>
      <t xml:space="preserve">Zocar fabricante, apresentou a necessidade de envio de equipamentos, como escavadeiras, totalizando 252 unidades, aceitando testar um transporte gradual, já que a Combitrans não tem capacidade para transportar todos de uma única vez. Preparar proposta para enviar - </t>
    </r>
    <r>
      <rPr>
        <b/>
        <sz val="8"/>
        <color rgb="FF000000"/>
        <rFont val="Arial"/>
      </rPr>
      <t xml:space="preserve"> NÃO CONSEGUIMOS CONCLUIR O CADASTRO - PROBLEMA COM CND PREFEITURA.  SERA´FEIRO NOVO CADASTRO COMCOM COMBITRANS LOGSITICA</t>
    </r>
  </si>
  <si>
    <t>Proposta comercial ainda não enviada</t>
  </si>
  <si>
    <t>KRONOS</t>
  </si>
  <si>
    <r>
      <rPr>
        <sz val="8"/>
        <color rgb="FF000000"/>
        <rFont val="Arial"/>
      </rPr>
      <t xml:space="preserve">Prospectando 200 cargas de estrutura metálica. Contatado um pessoal do Munk para avaliar a carga - </t>
    </r>
    <r>
      <rPr>
        <b/>
        <sz val="8"/>
        <color rgb="FF000000"/>
        <rFont val="Arial"/>
      </rPr>
      <t>JÁ ESTAMOS RECEBEMNDO UMA CARGA POR SEMANA - CLIENTE VEM NOS VISITAR EM 22/5</t>
    </r>
  </si>
  <si>
    <t>Cadastro concluido e aguardando aprovação para seguirmos para a fase de envio de tabelas</t>
  </si>
  <si>
    <t>Cadastro/BID</t>
  </si>
  <si>
    <r>
      <rPr>
        <sz val="8"/>
        <color rgb="FF000000"/>
        <rFont val="Arial"/>
      </rPr>
      <t>Envio das documentações solicitadas pelo cliente. A</t>
    </r>
    <r>
      <rPr>
        <b/>
        <sz val="8"/>
        <color rgb="FF000000"/>
        <rFont val="Arial"/>
      </rPr>
      <t>GUARADANDO 0  PILOTO  ACONTERCER ESTA SEMANA DO DIA 19/05</t>
    </r>
  </si>
  <si>
    <t>Cliente nos passou uma volumentria de 200 cargas  (Spot já em andamento) CORRETOI ! EM ANDAMENTO</t>
  </si>
  <si>
    <t>Go live</t>
  </si>
  <si>
    <r>
      <rPr>
        <sz val="8"/>
        <color rgb="FF000000"/>
        <rFont val="Arial"/>
      </rPr>
      <t>Cliente declinou, pois não há interesse de mexer na operação -</t>
    </r>
    <r>
      <rPr>
        <b/>
        <sz val="8"/>
        <color rgb="FF000000"/>
        <rFont val="Arial"/>
      </rPr>
      <t xml:space="preserve"> DECLINOU</t>
    </r>
  </si>
  <si>
    <t>Declinado</t>
  </si>
  <si>
    <t>AÇOLOGIS</t>
  </si>
  <si>
    <r>
      <rPr>
        <sz val="8"/>
        <color rgb="FF000000"/>
        <rFont val="Arial"/>
      </rPr>
      <t xml:space="preserve">Nossa operação não tem condições de atender os vergalhões
Cliente tem muito interesse de realizar operações com a Combitrans. </t>
    </r>
    <r>
      <rPr>
        <b/>
        <sz val="8"/>
        <color rgb="FF000000"/>
        <rFont val="Arial"/>
      </rPr>
      <t>COTAÇAO DE BOBINAS DEVE SE CONCRETIZAR NESTA SEGUNDA FEIRA - 19/05</t>
    </r>
  </si>
  <si>
    <t>ORTOBOM</t>
  </si>
  <si>
    <r>
      <rPr>
        <sz val="8"/>
        <color rgb="FF000000"/>
        <rFont val="Arial"/>
      </rPr>
      <t xml:space="preserve">Reunião de alinhamento e negociações, cliente irá visitar nossa estrutura em Belém e Manaus - </t>
    </r>
    <r>
      <rPr>
        <b/>
        <sz val="8"/>
        <color rgb="FF000000"/>
        <rFont val="Arial"/>
      </rPr>
      <t>FELIPE CONFIRMA QUE ESTRÁ EM BELEM DIA 26/05 - PARA DEFINIR O PILOTO</t>
    </r>
  </si>
  <si>
    <t>NASSAU</t>
  </si>
  <si>
    <r>
      <rPr>
        <sz val="8"/>
        <color rgb="FF000000"/>
        <rFont val="Arial"/>
      </rPr>
      <t xml:space="preserve">Cliente quer que a Combitrans assuma as operações no Porto  - </t>
    </r>
    <r>
      <rPr>
        <b/>
        <sz val="8"/>
        <color rgb="FF000000"/>
        <rFont val="Arial"/>
      </rPr>
      <t>NEGOCIAÇÃO DE 1.500 T EM ANDAMENTO</t>
    </r>
  </si>
  <si>
    <t>TOCANTINS</t>
  </si>
  <si>
    <r>
      <rPr>
        <sz val="8"/>
        <color rgb="FF000000"/>
        <rFont val="Arial"/>
      </rPr>
      <t xml:space="preserve">Identificado oportunidade no transporte rodoviário - contato com o cliente não realizado - </t>
    </r>
    <r>
      <rPr>
        <b/>
        <sz val="8"/>
        <color rgb="FF000000"/>
        <rFont val="Arial"/>
      </rPr>
      <t>JOELSON VAI ESTÁ EM BELEM NA SEMANA DE 25 A 30 DE MAIO</t>
    </r>
  </si>
  <si>
    <t>SUPORTELOG</t>
  </si>
  <si>
    <r>
      <rPr>
        <sz val="8"/>
        <color rgb="FF000000"/>
        <rFont val="Arial"/>
      </rPr>
      <t xml:space="preserve">EM FASE DE PROPOSTA - EM ANDAMENTO. VISITARÁ O PORTO EM 12/05 - VISITA REALIZADA - </t>
    </r>
    <r>
      <rPr>
        <b/>
        <sz val="8"/>
        <color rgb="FF000000"/>
        <rFont val="Arial"/>
      </rPr>
      <t>FOI ENVIADO APRESEENTAÇÃO INSTITUCIONAL E PROPOSTA - AGUARDANDO REPOSTA</t>
    </r>
  </si>
  <si>
    <t>TRANSPORTE MANAOS</t>
  </si>
  <si>
    <r>
      <rPr>
        <sz val="8"/>
        <color rgb="FF000000"/>
        <rFont val="Arial"/>
      </rPr>
      <t xml:space="preserve">Sem atualização - </t>
    </r>
    <r>
      <rPr>
        <b/>
        <sz val="8"/>
        <color rgb="FF000000"/>
        <rFont val="Arial"/>
      </rPr>
      <t>PREFERIU CONTINUAR COM O PASSARÃO</t>
    </r>
  </si>
  <si>
    <t>TELHAS ETERNIT</t>
  </si>
  <si>
    <r>
      <rPr>
        <sz val="8"/>
        <color rgb="FF000000"/>
        <rFont val="Arial"/>
      </rPr>
      <t xml:space="preserve">Oportunidade de frete rodoviário Goiânia x Belém -  </t>
    </r>
    <r>
      <rPr>
        <b/>
        <sz val="8"/>
        <color rgb="FF000000"/>
        <rFont val="Arial"/>
      </rPr>
      <t>CLIENTE CHEGA EM BELPEM PARA TRATAR - VISITA AGENDADA PARA 20/05 - AS 09:00 H</t>
    </r>
  </si>
  <si>
    <r>
      <rPr>
        <sz val="8"/>
        <color rgb="FF000000"/>
        <rFont val="Arial"/>
      </rPr>
      <t>Cliente irá agendar uma reunião de alinhamento de volumentria com o time de PMO -</t>
    </r>
    <r>
      <rPr>
        <b/>
        <sz val="8"/>
        <color rgb="FF000000"/>
        <rFont val="Arial"/>
      </rPr>
      <t xml:space="preserve"> EM FASE DE ASSINATURA DE CONTRATO</t>
    </r>
  </si>
  <si>
    <t>VISAR TRANSPORTES</t>
  </si>
  <si>
    <r>
      <rPr>
        <sz val="8"/>
        <color rgb="FF000000"/>
        <rFont val="Arial"/>
      </rPr>
      <t xml:space="preserve">Sem atualização - </t>
    </r>
    <r>
      <rPr>
        <b/>
        <sz val="8"/>
        <color rgb="FF000000"/>
        <rFont val="Arial"/>
      </rPr>
      <t>PROCESSO DEFIDIDO - CLIENTE JÁ TRANSPORTOU 10 CARRETAS NA SEMANA DO DIA 12 A 16/05</t>
    </r>
  </si>
  <si>
    <r>
      <rPr>
        <sz val="8"/>
        <color rgb="FF000000"/>
        <rFont val="Arial"/>
      </rPr>
      <t xml:space="preserve">Sem atualização - </t>
    </r>
    <r>
      <rPr>
        <b/>
        <sz val="8"/>
        <color rgb="FF000000"/>
        <rFont val="Arial"/>
      </rPr>
      <t>REUNIÃO OCORRERÁ ENTRE OS DIAS 25 A 30/05</t>
    </r>
  </si>
  <si>
    <r>
      <rPr>
        <sz val="8"/>
        <color rgb="FF000000"/>
        <rFont val="Arial"/>
      </rPr>
      <t xml:space="preserve">Time de Projetos está assumindo o Projeto e realizará estudo para adequação operacional e atendimento ao cliente - </t>
    </r>
    <r>
      <rPr>
        <b/>
        <sz val="8"/>
        <color rgb="FF000000"/>
        <rFont val="Arial"/>
      </rPr>
      <t>NA FASE DE PRECIFICAÇÃO  - SERÁ NESTa segunda feira</t>
    </r>
  </si>
  <si>
    <t>Cliente faz exigência de termos a BrasilRisk como gerenciadora de riscos para espelhamento de sinal. Time de Projetos está em contat com a BrasilRisk para avaliar o custo e seguir as negociações com o cliente</t>
  </si>
  <si>
    <r>
      <rPr>
        <sz val="8"/>
        <color rgb="FF000000"/>
        <rFont val="Arial"/>
      </rPr>
      <t>Sem atualização -</t>
    </r>
    <r>
      <rPr>
        <b/>
        <sz val="8"/>
        <color rgb="FF000000"/>
        <rFont val="Arial"/>
      </rPr>
      <t xml:space="preserve">EM ANDAMENTO A TRATATIVA COMERCOMERCIIAL - PRECIFICAÇÃO - TABELA </t>
    </r>
  </si>
  <si>
    <r>
      <rPr>
        <sz val="8"/>
        <color rgb="FF000000"/>
        <rFont val="Arial"/>
      </rPr>
      <t xml:space="preserve">Sem atualização - </t>
    </r>
    <r>
      <rPr>
        <b/>
        <sz val="8"/>
        <color rgb="FF000000"/>
        <rFont val="Arial"/>
      </rPr>
      <t>VAI CONTUBUAR COM O PASSARÃO</t>
    </r>
  </si>
  <si>
    <r>
      <rPr>
        <sz val="8"/>
        <color rgb="FF000000"/>
        <rFont val="Arial"/>
      </rPr>
      <t xml:space="preserve">Sem atualização - </t>
    </r>
    <r>
      <rPr>
        <b/>
        <sz val="8"/>
        <color rgb="FF000000"/>
        <rFont val="Arial"/>
      </rPr>
      <t>JA TRANSPORTANDO</t>
    </r>
  </si>
  <si>
    <t>ZOCAR RIO</t>
  </si>
  <si>
    <r>
      <rPr>
        <sz val="8"/>
        <color rgb="FF000000"/>
        <rFont val="Arial"/>
      </rPr>
      <t>Aguardando fechamento de contrato para continuar a cotação -</t>
    </r>
    <r>
      <rPr>
        <b/>
        <sz val="8"/>
        <color rgb="FF000000"/>
        <rFont val="Arial"/>
      </rPr>
      <t xml:space="preserve"> AGUARDANDO A ASSINATURA DO CONTRATO</t>
    </r>
  </si>
  <si>
    <t>CIMENTO NACIONAL</t>
  </si>
  <si>
    <r>
      <rPr>
        <sz val="8"/>
        <color rgb="FF000000"/>
        <rFont val="Arial"/>
      </rPr>
      <t xml:space="preserve">Cliente em momento oportuno irá fazer cotação - </t>
    </r>
    <r>
      <rPr>
        <b/>
        <sz val="8"/>
        <color rgb="FF000000"/>
        <rFont val="Arial"/>
      </rPr>
      <t xml:space="preserve">AS VENDAS PARARAM EM RAZÃONDAS CHUVAS </t>
    </r>
  </si>
  <si>
    <t>TRANSBUIATTE</t>
  </si>
  <si>
    <r>
      <rPr>
        <sz val="8"/>
        <color rgb="FF000000"/>
        <rFont val="Arial"/>
      </rPr>
      <t xml:space="preserve">Envio da apresentação comercial - </t>
    </r>
    <r>
      <rPr>
        <b/>
        <sz val="8"/>
        <color rgb="FF000000"/>
        <rFont val="Arial"/>
      </rPr>
      <t>NOSSA TABELA APRESENTATADA FIOCU ACIMA DA TABELA DO PASSARÃO</t>
    </r>
  </si>
  <si>
    <r>
      <rPr>
        <sz val="8"/>
        <color rgb="FF000000"/>
        <rFont val="Arial"/>
      </rPr>
      <t xml:space="preserve">Envio da apresentação comercial - </t>
    </r>
    <r>
      <rPr>
        <b/>
        <sz val="8"/>
        <color rgb="FF000000"/>
        <rFont val="Arial"/>
      </rPr>
      <t>JA TRANSPORTANDO</t>
    </r>
  </si>
  <si>
    <r>
      <rPr>
        <sz val="8"/>
        <color rgb="FF000000"/>
        <rFont val="Arial"/>
      </rPr>
      <t xml:space="preserve">Cliente solicitou confirmação de valores apresentados </t>
    </r>
    <r>
      <rPr>
        <b/>
        <sz val="8"/>
        <color rgb="FF000000"/>
        <rFont val="Arial"/>
      </rPr>
      <t>JA TRANSPORTANDO</t>
    </r>
  </si>
  <si>
    <r>
      <rPr>
        <sz val="8"/>
        <color rgb="FF000000"/>
        <rFont val="Arial"/>
      </rPr>
      <t>Envio das propostas ao cliente -</t>
    </r>
    <r>
      <rPr>
        <b/>
        <sz val="8"/>
        <color rgb="FF000000"/>
        <rFont val="Arial"/>
      </rPr>
      <t xml:space="preserve"> JA TRANSPORTANDO</t>
    </r>
  </si>
  <si>
    <t>DEVE OCORRER ESTA SEMANA O PILOTO</t>
  </si>
  <si>
    <r>
      <rPr>
        <sz val="8"/>
        <color rgb="FF000000"/>
        <rFont val="Arial"/>
      </rPr>
      <t xml:space="preserve">Açologis perdeu o contrato de 10 cargas mês para a HR Transportes. Tentarão renegociar para captar a carga novamente - </t>
    </r>
    <r>
      <rPr>
        <b/>
        <sz val="8"/>
        <color rgb="FF000000"/>
        <rFont val="Arial"/>
      </rPr>
      <t>EM ANDAMENTO A TRATATIVA COMERCIAL</t>
    </r>
  </si>
  <si>
    <r>
      <rPr>
        <sz val="8"/>
        <color rgb="FF000000"/>
        <rFont val="Arial"/>
      </rPr>
      <t xml:space="preserve">Conclusão do cadastro, aguardando os próximos passos informado pelo cliente - </t>
    </r>
    <r>
      <rPr>
        <b/>
        <sz val="8"/>
        <color rgb="FF000000"/>
        <rFont val="Arial"/>
      </rPr>
      <t>AGUARANDO A CONCLUSÃO DO CADASTRO</t>
    </r>
  </si>
  <si>
    <r>
      <rPr>
        <sz val="8"/>
        <color rgb="FF000000"/>
        <rFont val="Arial"/>
      </rPr>
      <t xml:space="preserve">Aguardando analise das documentos pelo cliente. Previsão de piloto para a próxima semana. Aguardando a inclusão do CNPJ da Combitrans na apólice de seguro - </t>
    </r>
    <r>
      <rPr>
        <b/>
        <sz val="8"/>
        <color rgb="FF000000"/>
        <rFont val="Arial"/>
      </rPr>
      <t>DEVE OCORRER NA SEMA NA DO DIA 19/05</t>
    </r>
  </si>
  <si>
    <r>
      <rPr>
        <sz val="8"/>
        <color rgb="FF000000"/>
        <rFont val="Arial"/>
      </rPr>
      <t xml:space="preserve">Cliente sinalizou que houve redução nas vendas devido as chuvas em Manaus. - </t>
    </r>
    <r>
      <rPr>
        <b/>
        <sz val="8"/>
        <color rgb="FF000000"/>
        <rFont val="Arial"/>
      </rPr>
      <t>JA ERSPONDISO A CIMA</t>
    </r>
  </si>
  <si>
    <r>
      <rPr>
        <sz val="8"/>
        <color rgb="FF000000"/>
        <rFont val="Arial"/>
      </rPr>
      <t xml:space="preserve">Reunião de alinhamento e finalização com a Brasilrisk hoje. Preenchimento do questionário do cliente - </t>
    </r>
    <r>
      <rPr>
        <b/>
        <sz val="8"/>
        <color rgb="FF000000"/>
        <rFont val="Arial"/>
      </rPr>
      <t>EM FASE DE ASSINATURA DE CONTARTO</t>
    </r>
  </si>
  <si>
    <t>Enviamos nossos preços e cliente informou que o target dele está abaixo do nosso preço. Em Negociação com o cliente. Cleinte tem interesse em montar um CD em Manaus/AM</t>
  </si>
  <si>
    <r>
      <rPr>
        <sz val="8"/>
        <color rgb="FF000000"/>
        <rFont val="Arial"/>
      </rPr>
      <t xml:space="preserve">Reunião com Felipe, cliente irá atualizar status com o time interno e nos dará um retorno até 14/05 - </t>
    </r>
    <r>
      <rPr>
        <b/>
        <sz val="8"/>
        <color rgb="FF000000"/>
        <rFont val="Arial"/>
      </rPr>
      <t>MARCADO PARA DEFINOIOR EM 26/05</t>
    </r>
  </si>
  <si>
    <r>
      <rPr>
        <sz val="8"/>
        <color rgb="FF000000"/>
        <rFont val="Arial"/>
      </rPr>
      <t xml:space="preserve">Cliente irá realizar uma visita técnica em nossa filial Belém - retorno 14/05 - </t>
    </r>
    <r>
      <rPr>
        <b/>
        <sz val="8"/>
        <color rgb="FF000000"/>
        <rFont val="Arial"/>
      </rPr>
      <t>APRESENTAÇÃO ENVIADA JUNATMENTE COM A PROPOSTA</t>
    </r>
  </si>
  <si>
    <r>
      <rPr>
        <sz val="8"/>
        <color rgb="FF000000"/>
        <rFont val="Arial"/>
      </rPr>
      <t xml:space="preserve">Cliente irá realizar uma visita presencial em nossa filial Belém/PA no dia 19/05 para tratar do frete rodoviário GO x PA </t>
    </r>
    <r>
      <rPr>
        <b/>
        <sz val="8"/>
        <color rgb="FF000000"/>
        <rFont val="Arial"/>
      </rPr>
      <t>- REUNIÃO DIA 20/06 - AS 09:00 H</t>
    </r>
  </si>
  <si>
    <r>
      <rPr>
        <sz val="8"/>
        <color rgb="FF000000"/>
        <rFont val="Arial"/>
      </rPr>
      <t xml:space="preserve">Cliente visitará nossa filial em Belém 15/05 - </t>
    </r>
    <r>
      <rPr>
        <b/>
        <sz val="8"/>
        <color rgb="FF000000"/>
        <rFont val="Arial"/>
      </rPr>
      <t>JOELSON - DEFINIR NA SEMANA DO DIA 26 A 30/06</t>
    </r>
  </si>
  <si>
    <r>
      <rPr>
        <sz val="8"/>
        <color rgb="FF000000"/>
        <rFont val="Arial"/>
      </rPr>
      <t>Cliente atualmente trabalha com o Passarão. Estão estudando para passar cargas para a Combitrans -</t>
    </r>
    <r>
      <rPr>
        <b/>
        <sz val="8"/>
        <color rgb="FF000000"/>
        <rFont val="Arial"/>
      </rPr>
      <t xml:space="preserve"> EXATAMENETE</t>
    </r>
  </si>
  <si>
    <r>
      <rPr>
        <sz val="8"/>
        <color rgb="FF000000"/>
        <rFont val="Arial"/>
      </rPr>
      <t xml:space="preserve">Cliente atualmente trabalha com o Passarão. Estão estudando para passar cargas para a Combitrans - </t>
    </r>
    <r>
      <rPr>
        <b/>
        <sz val="8"/>
        <color rgb="FF000000"/>
        <rFont val="Arial"/>
      </rPr>
      <t>EXATAMENETE</t>
    </r>
  </si>
  <si>
    <r>
      <rPr>
        <sz val="8"/>
        <color rgb="FF000000"/>
        <rFont val="Arial"/>
      </rPr>
      <t xml:space="preserve">Cliente iniciou suas operações com a Combitrans. - </t>
    </r>
    <r>
      <rPr>
        <b/>
        <sz val="8"/>
        <color rgb="FF000000"/>
        <rFont val="Arial"/>
      </rPr>
      <t>JA TRANSPORTANDO</t>
    </r>
  </si>
  <si>
    <r>
      <rPr>
        <sz val="8"/>
        <color rgb="FF000000"/>
        <rFont val="Arial"/>
      </rPr>
      <t xml:space="preserve">Cliente enviou a relação de 28 equipamentos para orçamentos - </t>
    </r>
    <r>
      <rPr>
        <b/>
        <sz val="8"/>
        <color rgb="FF000000"/>
        <rFont val="Arial"/>
      </rPr>
      <t>AGUARADANDO ASSINATITA DE CONTRATO</t>
    </r>
  </si>
  <si>
    <t>TABALMIX</t>
  </si>
  <si>
    <r>
      <rPr>
        <sz val="8"/>
        <color rgb="FF000000"/>
        <rFont val="Arial"/>
      </rPr>
      <t xml:space="preserve">Transporte de 30 equipamentos (já em operação) </t>
    </r>
    <r>
      <rPr>
        <b/>
        <sz val="8"/>
        <color rgb="FF000000"/>
        <rFont val="Arial"/>
      </rPr>
      <t>TRANSPORTE EM ANDAMENTO</t>
    </r>
  </si>
  <si>
    <r>
      <rPr>
        <sz val="8"/>
        <color rgb="FF000000"/>
        <rFont val="Arial"/>
      </rPr>
      <t xml:space="preserve">Realizado questionamentos ao cliente sobre a entrega e a retirada dos produtos em nosso porto - </t>
    </r>
    <r>
      <rPr>
        <b/>
        <sz val="8"/>
        <color rgb="FF000000"/>
        <rFont val="Arial"/>
      </rPr>
      <t>EM TRATATIVA COMERCIAL DE VALORES - BOBINAS</t>
    </r>
  </si>
  <si>
    <t>Time do Pricing enviou ao Antonio Sales valores revisados</t>
  </si>
  <si>
    <t>Vitorio</t>
  </si>
  <si>
    <t>Arrow</t>
  </si>
  <si>
    <t>Foi realizada uma reunião com o cliente, que melhorou o relacionamento e aumentou a confiança, especialmente quanto a atrasos registrados anteriormente. Também foi encaminhada uma carga de óleo vegetal em bombonas de 200 litros paletizadas para a empresa ITA.</t>
  </si>
  <si>
    <t>Click-Rodo (Americanas)</t>
  </si>
  <si>
    <t>Não foi possível dar andamento à operação devido à ausência do PGR. Posteriormente, o Sr. Clevison esclareceu que o impedimento ocorreu por falta de maquinário adequado e questões operacionais.</t>
  </si>
  <si>
    <t>Gab</t>
  </si>
  <si>
    <t>A empresa está carregando no convés em Manaus, com expectativa de movimentar quatro cargas por semana. Quando os volumes partindo de São Paulo para Manaus forem liberados, a operação será assumida pela Gab.</t>
  </si>
  <si>
    <t>Novelis</t>
  </si>
  <si>
    <t>Foi realizada uma visita com Dagoberto para tratar do BID envolvendo 1.740 carretas, sendo 800 para balsas e o restante para cabotagem. O volume foi considerado expressivo e viável para investimento. As cargas consistem em bobinas de 12 toneladas paletizadas, com uso de carretas tipo sider.</t>
  </si>
  <si>
    <t>Foi informado que a empresa venceu o BID, e no momento aguarda o envio da documentação preenchida para dar prosseguimento à operação.</t>
  </si>
  <si>
    <t>Fast Airlog</t>
  </si>
  <si>
    <t>Houve reunião para apresentação e precificação de proposta. A previsão é de transporte de 40 cargas por mês de embalagens plásticas paletizadas. O fechamento está pendente devido à mudança da praça de pagamento para São Paulo e ao reajuste no valor da mercadoria. A expectativa é de conclusão no início de maio.</t>
  </si>
  <si>
    <t>Conservas Oderich</t>
  </si>
  <si>
    <t>A empresa aguarda retorno de uma simulação referente ao transporte porta a porta.</t>
  </si>
  <si>
    <t>Ammua Transportes</t>
  </si>
  <si>
    <t>Atuamente o cliente aluga 95 carretas do Chibatão e por esse motivo está atrelado na Balsa do Chibatão.
A partir de Maio/25, Junho/25 e Julho/25 recerá 30 veículos e passará a transportar com a Combitrans</t>
  </si>
  <si>
    <t>Yamalog</t>
  </si>
  <si>
    <t>Foi mencionado o convite para parceria feito durante a participação na feira.</t>
  </si>
  <si>
    <t>Transmoreno</t>
  </si>
  <si>
    <t>Iniciaram-se tratativas para o transporte de veículos em porta-carros. No entanto, a negociação esfriou ao se abordar o tema contratual. A intenção é retomar o contato durante a feira.</t>
  </si>
  <si>
    <t>Gabardo</t>
  </si>
  <si>
    <t>As conversas com a empresa seguem sem avanços. Houve convite para a feira, porém sem retorno até o momento.</t>
  </si>
  <si>
    <t>Suzano</t>
  </si>
  <si>
    <t>As conversas estão em andamento com uma representante local.</t>
  </si>
  <si>
    <t>Eldorado e De Ferro Gusa (Três Lagoas)</t>
  </si>
  <si>
    <t>Foram iniciadas tratativas com ambas as empresas para avaliar possíveis parcerias comerciais.</t>
  </si>
  <si>
    <t>Vetorial Siderurgica</t>
  </si>
  <si>
    <t>Falei com o Maycon e encaminei uma apreesentação comercial</t>
  </si>
  <si>
    <t>Cory Alimentos</t>
  </si>
  <si>
    <t>Cliente visitou nosso stand na Intermodal</t>
  </si>
  <si>
    <t>Projeto em Andamento - Cliente irá visitar nosso porto em Manaus e nos visitará na Feira em Manaus</t>
  </si>
  <si>
    <t>Tora Transportes</t>
  </si>
  <si>
    <t>Cliente nos visitou na Intermodal</t>
  </si>
  <si>
    <t>Dux Transportes</t>
  </si>
  <si>
    <t>Expresso NST</t>
  </si>
  <si>
    <t>SPOT</t>
  </si>
  <si>
    <t>Cosmetal</t>
  </si>
  <si>
    <t>Fedex</t>
  </si>
  <si>
    <t>GDC Alimentos</t>
  </si>
  <si>
    <t>Ceva Logistics</t>
  </si>
  <si>
    <t>Magnera</t>
  </si>
  <si>
    <t>Cliente visitou nosso stand na Intermodal - Fabricante de insumos para fralda</t>
  </si>
  <si>
    <t>FCDEX</t>
  </si>
  <si>
    <t>Pulse Log</t>
  </si>
  <si>
    <t>Tecnolog</t>
  </si>
  <si>
    <t>JadLog</t>
  </si>
  <si>
    <t>Enviado apresentação inicial para o cliente</t>
  </si>
  <si>
    <t>Cliente retomou a operação com a Combitrans</t>
  </si>
  <si>
    <t>Adequar nosso Seguro ao cliente para iniciar a operação</t>
  </si>
  <si>
    <t>Cliente declinou devido preço elevado</t>
  </si>
  <si>
    <t>Reunião presencial no cliente para entender a necessidade</t>
  </si>
  <si>
    <t>Time de PMO irá agendar uma reunião com o cliente para melhorar o entendimento do cliente</t>
  </si>
  <si>
    <t>INJEX</t>
  </si>
  <si>
    <t>Transocidente</t>
  </si>
  <si>
    <t>Aerosoft</t>
  </si>
  <si>
    <t>Envio da proposta comercial</t>
  </si>
  <si>
    <t>Envio de tabelas</t>
  </si>
  <si>
    <t>Reunião com o cliente e acordo comercial</t>
  </si>
  <si>
    <t>Envio da nossa apólice de seguros para avaliação do cliente</t>
  </si>
  <si>
    <t>Enviado precificação porto a porto</t>
  </si>
  <si>
    <t>Cliente atrelado com contrato com o Passarão</t>
  </si>
  <si>
    <t>Aguardando agendamento de reunião com o cliente para desenho operacional</t>
  </si>
  <si>
    <t>Aguardando retorno do cliente para limite de embarques para mercadorias especificas</t>
  </si>
  <si>
    <t>Vitório entrará em contato com o cliente</t>
  </si>
  <si>
    <t>Realizado a precificação ao cliente, aguardando aprovação e inicio da operação (SPOT)</t>
  </si>
  <si>
    <t>Aguadando informações do cliente sobre volumetria</t>
  </si>
  <si>
    <t>Aguardando o cliente informar dados do BID para participação</t>
  </si>
  <si>
    <t>Realizado ajuste de valores na ultima sexta feira 09/05. Aguardando aprovação do cliente</t>
  </si>
  <si>
    <t>Sem atualização</t>
  </si>
  <si>
    <t>Tentativa de contato com o cliente, mas sem evolução</t>
  </si>
  <si>
    <t>Empresa iniciou carregamento com a Combitrans</t>
  </si>
  <si>
    <t>As conversas com a empresa seguem sem avanços. Houve convite para a feira, porém sem retorno até o momento. Cliente informou que não tem interesse no Projeto do Rack e permanecerá transportando na cegonheira.</t>
  </si>
  <si>
    <t>Em negociação com o cliente.</t>
  </si>
  <si>
    <t>Aguardando retorno do cliente.</t>
  </si>
  <si>
    <t>Aguardando retorno do cliente sobre volumetria e preços praticados atualmente</t>
  </si>
  <si>
    <t>Aguadando retorno do BID</t>
  </si>
  <si>
    <t>Agendar uma reunião com o cliente</t>
  </si>
  <si>
    <t>Santarém/PA e Macapá e Belém - Novas oportunidade de fretes</t>
  </si>
  <si>
    <t>Aguardando retorno do cliente sobre o Projeto da Nissan e Renault</t>
  </si>
  <si>
    <t>Entrar em contato com o cliente</t>
  </si>
  <si>
    <t>Iremos apresentar um Projeto ao cliente dia 15/05</t>
  </si>
  <si>
    <t>Tintas Renner</t>
  </si>
  <si>
    <t>Enviar apresentação ao cliente</t>
  </si>
  <si>
    <t>Altenburg</t>
  </si>
  <si>
    <t>Envio da apresentação ao cliente</t>
  </si>
  <si>
    <t>Atlantico Logística</t>
  </si>
  <si>
    <t>Purim Personalizados</t>
  </si>
  <si>
    <t>Cliente operando com o fornecedor ITAN e mencionou ter fechado mais um fornecedor</t>
  </si>
  <si>
    <t>NegociandoTabela com ajuste de preço devido ao prazo de pagamento e cobertura de seguro sendo adequado</t>
  </si>
  <si>
    <t>Enviado precificação de frete porto a porto</t>
  </si>
  <si>
    <t>Eldorado Celulose (Três Lagoas)</t>
  </si>
  <si>
    <t>Tentativa de contato com o cliente, mas sem evolução.</t>
  </si>
  <si>
    <t>Empresa mantendo carregamento com a Combitrans</t>
  </si>
  <si>
    <t xml:space="preserve"> Cliente informou que não tem interesse no Projeto do Rack e permanecerá transportando na cegonheira via Porto Velho.</t>
  </si>
  <si>
    <t>Prosposta de frete fluvial porto x porto enviada para o cliente</t>
  </si>
  <si>
    <t xml:space="preserve">Proposta de frete rodoviário e fluvial de tres origens (PR/SP/MG) x Manaus enviada </t>
  </si>
  <si>
    <t>Conforme atualização do cliente passamos para a etapa fianl do BID</t>
  </si>
  <si>
    <t>Suzano Tres Lagoas</t>
  </si>
  <si>
    <t>Aguardando retorno do cliente para participação do BID</t>
  </si>
  <si>
    <t>Vetorial Siderurgica Tres Lagoas</t>
  </si>
  <si>
    <t>Aguardaando retorno do cliente para participarmos do BID</t>
  </si>
  <si>
    <t>Wellington</t>
  </si>
  <si>
    <t>3 Corações</t>
  </si>
  <si>
    <t>Apresentação enviada. Cadastro em andamento. Pendência: preenchimento do RFI para finalizar o cadastro.</t>
  </si>
  <si>
    <t>Propostas Encaminhadas</t>
  </si>
  <si>
    <t>Aguardando aprovação da proposta e liberação para cadastro</t>
  </si>
  <si>
    <t>Active Brasil</t>
  </si>
  <si>
    <t>Apresentação enviada.</t>
  </si>
  <si>
    <t>Alcoa</t>
  </si>
  <si>
    <t>Alpargatas</t>
  </si>
  <si>
    <t>29/04/2025</t>
  </si>
  <si>
    <t>Apresentação enviada / Reunião agendada para semana do dia 12/05</t>
  </si>
  <si>
    <t>Ambev</t>
  </si>
  <si>
    <t>Apresentação enviada / em processo de cadastro</t>
  </si>
  <si>
    <t>Amcor</t>
  </si>
  <si>
    <t>Arcor</t>
  </si>
  <si>
    <t>Assaí</t>
  </si>
  <si>
    <t>Proposta em elaboração. Volume estimado:21 cargas/semana. Rotas: Belém–Belém, Belém–Santarém, Belém–Macapá, Manaus–Manaus, Manaus–Boa Vista.</t>
  </si>
  <si>
    <t>Cadastros Realizados</t>
  </si>
  <si>
    <t>Propostas Encaminhadas, aguardando retorno cliente / Enviarmos Contraproposta</t>
  </si>
  <si>
    <t>Ball</t>
  </si>
  <si>
    <t>Bauducco</t>
  </si>
  <si>
    <t>Apresentação enviada / Em processo de cadastro / Em processo de Cotação</t>
  </si>
  <si>
    <t>Bombril</t>
  </si>
  <si>
    <t>Propostas Encaminhadas / Ãguardando retorno do cliente</t>
  </si>
  <si>
    <t>Brilux</t>
  </si>
  <si>
    <t>Além da proposta já enviada, foi realizada uma reunião comercial com a empresa para discutir oportunidades de parceria / Aguardando Retorno cadastro Cliente</t>
  </si>
  <si>
    <t>Britvic/Ebba</t>
  </si>
  <si>
    <t>Apresentação enviada / Em processo de Cadastro</t>
  </si>
  <si>
    <t>Bunge</t>
  </si>
  <si>
    <t>BYD</t>
  </si>
  <si>
    <t>Camil</t>
  </si>
  <si>
    <t>Campari</t>
  </si>
  <si>
    <t>Canadian</t>
  </si>
  <si>
    <t>Canpack</t>
  </si>
  <si>
    <t>Caramuru</t>
  </si>
  <si>
    <t>Carrefour</t>
  </si>
  <si>
    <t>Apresentação enviada / Reunião realizada 28/04</t>
  </si>
  <si>
    <t>CBA</t>
  </si>
  <si>
    <t>Cerpa</t>
  </si>
  <si>
    <t>Ciclologistica / Grupo Camil</t>
  </si>
  <si>
    <t>Coco do Vale</t>
  </si>
  <si>
    <t>Copal (Colgate / Palmolive)</t>
  </si>
  <si>
    <t>Ducoco</t>
  </si>
  <si>
    <t>Apresentação enviada / Reunião agendada 02/05</t>
  </si>
  <si>
    <t>Electrolux</t>
  </si>
  <si>
    <t>Energético Baly</t>
  </si>
  <si>
    <t>Esmaltec</t>
  </si>
  <si>
    <t>Fini</t>
  </si>
  <si>
    <t>Flora</t>
  </si>
  <si>
    <t>Genmills (Yoki)</t>
  </si>
  <si>
    <t>Grendene</t>
  </si>
  <si>
    <t>Grupo Mateus</t>
  </si>
  <si>
    <t>Grupo Moura</t>
  </si>
  <si>
    <t>Grupo Petrópolis</t>
  </si>
  <si>
    <t>Foi mencionado o envio da apresentação comercial e do formulário de cadastro da empresa. / Em processo de Cadastro</t>
  </si>
  <si>
    <t>Heineken</t>
  </si>
  <si>
    <t>Ihara</t>
  </si>
  <si>
    <t>Interlandia / Dragão</t>
  </si>
  <si>
    <t>Iquine</t>
  </si>
  <si>
    <t>J. Macêdo</t>
  </si>
  <si>
    <t>KCC (Softys)</t>
  </si>
  <si>
    <t>Klabin</t>
  </si>
  <si>
    <t>Lactalis / Itambé</t>
  </si>
  <si>
    <t>Loreal</t>
  </si>
  <si>
    <t>M. Dias Branco</t>
  </si>
  <si>
    <t>Mallory</t>
  </si>
  <si>
    <t>Maratá</t>
  </si>
  <si>
    <t>Marilan</t>
  </si>
  <si>
    <t>Mars</t>
  </si>
  <si>
    <t>Masterfoods</t>
  </si>
  <si>
    <t>Midiacarrier</t>
  </si>
  <si>
    <t>Minerva Foods</t>
  </si>
  <si>
    <t>Mondial</t>
  </si>
  <si>
    <t>Propostas Encaminhadas / aguardando retorno do cliente</t>
  </si>
  <si>
    <t>Natura / Avon</t>
  </si>
  <si>
    <t>Apresentação enviada. Cadastro em andamento. Pendência: finalização do processo de cadastro.</t>
  </si>
  <si>
    <t>Nestlé</t>
  </si>
  <si>
    <t>Cadastros Realizados / Processo de Cadastro</t>
  </si>
  <si>
    <t>NewAge</t>
  </si>
  <si>
    <t>Nissin</t>
  </si>
  <si>
    <t>Pepsico</t>
  </si>
  <si>
    <t>Apresentação enviada / Processo de Cadastro</t>
  </si>
  <si>
    <t>Pernort Ricard</t>
  </si>
  <si>
    <t>Procurament Garage</t>
  </si>
  <si>
    <t>Reckitt</t>
  </si>
  <si>
    <t>Renault</t>
  </si>
  <si>
    <t>Roca</t>
  </si>
  <si>
    <t>Royal Canin</t>
  </si>
  <si>
    <t>Sada</t>
  </si>
  <si>
    <t>Saintgobain</t>
  </si>
  <si>
    <t>Santa Helena</t>
  </si>
  <si>
    <t>Selmi</t>
  </si>
  <si>
    <t>Sococo</t>
  </si>
  <si>
    <t>SolarBR (Coca-Cola)</t>
  </si>
  <si>
    <t>Apresentação enviada / Reunião 29/04</t>
  </si>
  <si>
    <t>Sumitomo Chemical</t>
  </si>
  <si>
    <t>Syngenta</t>
  </si>
  <si>
    <t>Tegma</t>
  </si>
  <si>
    <t>Tramontina</t>
  </si>
  <si>
    <t>Transauto</t>
  </si>
  <si>
    <t>Transgabardo</t>
  </si>
  <si>
    <t>Tupperware</t>
  </si>
  <si>
    <t>Unicharm</t>
  </si>
  <si>
    <t>Unilever</t>
  </si>
  <si>
    <t>Xcelis</t>
  </si>
  <si>
    <t>Reunião realizada com o cliente</t>
  </si>
  <si>
    <t>Envio das documentações para analise</t>
  </si>
  <si>
    <t>Moinho Cearense</t>
  </si>
  <si>
    <t>Envio da apresentação comercial</t>
  </si>
  <si>
    <t>Inicio das negociações de rotas</t>
  </si>
  <si>
    <t>Açocearense</t>
  </si>
  <si>
    <t>Negociações em andamento</t>
  </si>
  <si>
    <t>Tentativa de agendamento de reunião</t>
  </si>
  <si>
    <t>Cia Muller</t>
  </si>
  <si>
    <t>Pitu</t>
  </si>
  <si>
    <t>Cliente informou que o preço ofertado em tabela está fora do preço que pagam atualmente</t>
  </si>
  <si>
    <t>Envio das rotas de interesse ao cliente</t>
  </si>
  <si>
    <t>Cliente informou o target</t>
  </si>
  <si>
    <t>Reunião agendada para 14/05</t>
  </si>
  <si>
    <t>Ofertado operações ao cliente de MG x SP</t>
  </si>
  <si>
    <t>Enviado mais uma apresentação cliente. Cliente retornou novamente que nossos valores estão altos, comparados ao que pagam hoje.</t>
  </si>
  <si>
    <t>Santher</t>
  </si>
  <si>
    <t>Vicunha</t>
  </si>
  <si>
    <t>Envio para o time de Pricing realizar cadastros</t>
  </si>
  <si>
    <t>Documentos da Combitrans enviado para cadastro e proposta comercial reenviada</t>
  </si>
  <si>
    <t>Cliente informou que está analisando os preços da proposta</t>
  </si>
  <si>
    <t>Agendado reunião presencial com o cliente para 14/05</t>
  </si>
  <si>
    <t>Realização de cadastros</t>
  </si>
  <si>
    <t>Cliente enviou rotas disponiveis para iniciarmos e target</t>
  </si>
  <si>
    <t>Cliente informou a disponibilidade de agenda para reuniões</t>
  </si>
  <si>
    <t>Envio do nosso target ao cliente</t>
  </si>
  <si>
    <t>Minalba Brasil</t>
  </si>
  <si>
    <t>Envio das documentações para o cliente analisar</t>
  </si>
  <si>
    <t>Cliente declinou das negociações informando que nossos valores estão muito acima do que estão praticando atualmente</t>
  </si>
  <si>
    <t>Sr. Wescley avaliando o criterio de compras referente a Target, prazo de retorno 20/05</t>
  </si>
  <si>
    <t>Comprador em ferias - retornar 05/06</t>
  </si>
  <si>
    <t>Abertura do BID para Agosto</t>
  </si>
  <si>
    <t>Em processo de Cotação - BID - visita proigramada mês de Julho</t>
  </si>
  <si>
    <t>em visita ao cliente, iremos participar do BID Setembro</t>
  </si>
  <si>
    <t>Em processo de Cadastro</t>
  </si>
  <si>
    <t>aguardando oportunidade por parte do cliente</t>
  </si>
  <si>
    <t>Aguardando oportunidade por parte do cliente, BID sem data para ser lançado no mercado</t>
  </si>
  <si>
    <t>recebemos o cliente em nosso terminal em Manaus numa visita Tecnica no dia 15/05 - estamos em processo de negociação e cadastro</t>
  </si>
  <si>
    <t>Visita ao cliente, e  o mesmo nos enviou o target para avaliação - retorno dia 26/05</t>
  </si>
  <si>
    <t>tabela de frete enviada , aguardando o retorno do cliente - Enviaremos a documetnação para cadastro ate dia 20/05 - visita programada para Junho</t>
  </si>
  <si>
    <t>Cliente em avaliação de valores - visita programada para mês de Junho</t>
  </si>
  <si>
    <t>Em visita no cliente, fechamos a rota Horizonte x Belem para rodotrem - irá passar o Target de outras Rotas - cadastro em processo final de aprovação</t>
  </si>
  <si>
    <t>em processo de cadastro e elaboração da DDR do cliente</t>
  </si>
  <si>
    <t>em conversas iniciais, cliente avaliando oportunidades - visita programada mês Junho</t>
  </si>
  <si>
    <t>Conversas iniciais - visita programada mês Junho</t>
  </si>
  <si>
    <t>Conversas iniciais, clientes avaliando rotas de oportunidades e vamos participar do BID, ainda sem data definida - visita programada mês Junho</t>
  </si>
  <si>
    <t>processo inicial de conversas</t>
  </si>
  <si>
    <t>em conversas iniciais, reunião sendo programada para a feira intersolar em Agosto</t>
  </si>
  <si>
    <t>em conversas iniciais, cliente sem oportunidades no momento</t>
  </si>
  <si>
    <t>conversas iniciais, iremos iniciar o processo de cadastro</t>
  </si>
  <si>
    <t>em negociação, aguardando retorno do cliente referente a proposta enviada - visita programada mês Junho</t>
  </si>
  <si>
    <t>em conversas iniciais</t>
  </si>
  <si>
    <t>19/05/2025</t>
  </si>
  <si>
    <t>em conversas iniciais - visita programada mês Julho</t>
  </si>
  <si>
    <t>contatos inicial - visita programada mês Junho</t>
  </si>
  <si>
    <t>em conversa - visita programada mês Junho</t>
  </si>
  <si>
    <t>conversa inicial</t>
  </si>
  <si>
    <t>conversa inicial - visita programada mês Junho</t>
  </si>
  <si>
    <t>cliente esta em processo de recuperação judicial</t>
  </si>
  <si>
    <t>em conversa inicial</t>
  </si>
  <si>
    <t>em negociação e processo de cadastro - tivemos reunião com o cliente no dia 15/05</t>
  </si>
  <si>
    <t>em conversa inicial - visita programada mês Junho</t>
  </si>
  <si>
    <t>visita realizada na semana do dia 05/05 e estamos aguardando o cliente passar informações para cotação, o mesmo iria avalair oportunidade e retornaria</t>
  </si>
  <si>
    <t>conversa inicial, aguardar oportunidades - visita programada mês Julho</t>
  </si>
  <si>
    <t xml:space="preserve">reunião realizada dia 16/05 o cliente nos enviara informações para operação Norte dedicado e passamos cotação operação PORTO X PORTA </t>
  </si>
  <si>
    <t>Em processo de cadastro, o cliente não sera comprado mais pelo grupo JBS no momento</t>
  </si>
  <si>
    <t>Reunião realizada 15/05 - iniciamos om processo de cadastro do CNPJ MANAUS / BELEM / BARUERI</t>
  </si>
  <si>
    <t>em processo de cadastro</t>
  </si>
  <si>
    <t>reunião realizada 14/05 e o cliente irá no enviar informações para cotação e cadastro</t>
  </si>
  <si>
    <t>em conversa inicial, aguardando a Srta. Mariana voltar das ferias</t>
  </si>
  <si>
    <t>em visita ao cliente, aguardasndo oportunidades</t>
  </si>
  <si>
    <t>em conversa inicial, programando visita no mês de Junho ou Julho</t>
  </si>
  <si>
    <t>visita ao cliente no dia 12/05, conversa inicial</t>
  </si>
  <si>
    <t>conversa inicial, BiD previsto agosto ou setembro - visita programada mês Junho</t>
  </si>
  <si>
    <t>conversa inicial, programando reunião com o cliente</t>
  </si>
  <si>
    <t>proposta e cadastro sendo avaliado pelo  cliente</t>
  </si>
  <si>
    <t>aguardando BID 2025 - visita programada mês Junho</t>
  </si>
  <si>
    <t>em processo de cadastro - visita programada mês Junho</t>
  </si>
  <si>
    <t>visita ao cliente 16/05 , BID janeiro2026</t>
  </si>
  <si>
    <t>em conversa inicial- visita programada mês Junho com a Srta. Daniella Paker</t>
  </si>
  <si>
    <t xml:space="preserve">visita ao cliente 19/05, aguardando inforrmações </t>
  </si>
  <si>
    <t>iniciaremos processo de cadastro</t>
  </si>
  <si>
    <t>visita ao cliente 16/05, aguardando informações</t>
  </si>
  <si>
    <t>o comprador que estavamos em negociação, foi desligado e estamos aguardando quem sera a pessoa responsavel pelas negociaçõespara continuarmos a negociação</t>
  </si>
  <si>
    <t>em conversa inicial, BID Dezembro</t>
  </si>
  <si>
    <t>conversa inicial, programando visita junho</t>
  </si>
  <si>
    <t>conversa inicial - visita programada mês Julho</t>
  </si>
  <si>
    <t>tivemos reunião 15/05 aguardando informações</t>
  </si>
  <si>
    <t>conversa inicial, aguardando o Sr. Thales voltar das ferias</t>
  </si>
  <si>
    <t>enviar cotação transporte automoveis na carreteira</t>
  </si>
  <si>
    <t>conversa inicial, outubro fazermos o cadastro para participar do BID em 2026</t>
  </si>
  <si>
    <t>Gtex</t>
  </si>
  <si>
    <t>em prospecção</t>
  </si>
  <si>
    <t>Alimentos São Braz</t>
  </si>
  <si>
    <t>Autoport</t>
  </si>
  <si>
    <t>Alimentos Tijucas</t>
  </si>
  <si>
    <t>Bateria Heliar</t>
  </si>
  <si>
    <t>Quartzolit / Weber</t>
  </si>
  <si>
    <t>Mercado Livre</t>
  </si>
  <si>
    <t>Shoope</t>
  </si>
  <si>
    <t>Santana Textiles</t>
  </si>
  <si>
    <t>Moveis Bartira</t>
  </si>
  <si>
    <t>Reciaço</t>
  </si>
  <si>
    <t>Democrata</t>
  </si>
  <si>
    <t>Dakota</t>
  </si>
  <si>
    <t>Carton Pack</t>
  </si>
  <si>
    <t>Wittemberg</t>
  </si>
  <si>
    <t>ArcelorMittal</t>
  </si>
  <si>
    <t>Solicitou a documentação da ANTT. Em negociação</t>
  </si>
  <si>
    <t>BMC-Hyundai</t>
  </si>
  <si>
    <t>Boticário</t>
  </si>
  <si>
    <t>BRG</t>
  </si>
  <si>
    <t>A proposta foi postergada devido à falta de equipamento adequado para o transporte da carga de 8 toneladas. A sugestão de usar duas empilhadeiras foi considerada arriscada devido a avarias anteriores.</t>
  </si>
  <si>
    <t>Cargill</t>
  </si>
  <si>
    <t>Contato inicial feito com um representante, que comentou sobre mudanças na diretoria, mas não houve retorno até o momento.  Em negociação</t>
  </si>
  <si>
    <t>Comigo Cereais</t>
  </si>
  <si>
    <t>Informaram que novos cadastros serão realizados somente a partir de agosto.  Em negociação</t>
  </si>
  <si>
    <t>Correios</t>
  </si>
  <si>
    <t>Continua sendo monitorado, conforme informado anteriormente.  Em negociação</t>
  </si>
  <si>
    <t>Fugini Alimentos</t>
  </si>
  <si>
    <t>Realizou contato com a empresa , mas até o momento não houve avanços ou definições na negociação. O contato segue em aberto, aguardando retorno.</t>
  </si>
  <si>
    <t>Informaram que no momento não estão realizando novos cadastros.</t>
  </si>
  <si>
    <t>Gelgas</t>
  </si>
  <si>
    <t>Heinz</t>
  </si>
  <si>
    <t>Jamel</t>
  </si>
  <si>
    <t>Wittemberg entrou em contato novamente com a Jamel, que deixou de operar na rota de Manaus, passando a trabalhar apenas com cargas spot por enquanto.</t>
  </si>
  <si>
    <t>Piracanjuba</t>
  </si>
  <si>
    <t>foram realizadas tentativas de contato por mensagens, porém, até agora, não houve retorno. As ligações estão sendo direcionadas para a caixa postal. Ficou definido que as tentativas de contato continuarão e, conforme alinhado com Dagoberto, será agendada uma visita à unidade da empresa localizada em Goiás.</t>
  </si>
  <si>
    <t>Negociação em andamento, com apoio do Sr. Dagoberto.  Em negociação</t>
  </si>
  <si>
    <t>Planalto Tratores</t>
  </si>
  <si>
    <t>Química Amparo (Ypê)</t>
  </si>
  <si>
    <t>Solicitou documentação e questionou sobre a liberação de produtos químicos e saneantes. No momento, a negociação aguarda resposta da área responsável para dar continuidade.</t>
  </si>
  <si>
    <t>Aguardando retorno.  Em negociação</t>
  </si>
  <si>
    <t>Rohr Máquinas</t>
  </si>
  <si>
    <t>Stara Tratores</t>
  </si>
  <si>
    <t>TSR Group</t>
  </si>
  <si>
    <t>Cliente ainda não concluiu a analise das documentações</t>
  </si>
  <si>
    <t>Fretes não são constantes - apenas Spots</t>
  </si>
  <si>
    <t>Cliente informou que não tem perspectiva de utilizar o rodoviário e o fluvial no momento para a região</t>
  </si>
  <si>
    <t>Cliente não seguiu as negociações por causa de preço</t>
  </si>
  <si>
    <t xml:space="preserve">Cliente travou as negociações por conta de dívida de 3.2bilhões </t>
  </si>
  <si>
    <t>Cliente informou que assim que tiver demanda, entrariam em contato</t>
  </si>
  <si>
    <t>Solicitado apoio para entrar na negociação - Time de PMO entrará em contato para identificarmos uma oportunidade com o cliente</t>
  </si>
  <si>
    <t>Apoio do PMO</t>
  </si>
  <si>
    <t>Quando surgir oportunidade entrarão em contato</t>
  </si>
  <si>
    <t>Cadastro preenchido e aprovado para participarmos do BID. Em processo de preenchimento do BID</t>
  </si>
  <si>
    <t>Quando tiver demandas entrarão em contatos</t>
  </si>
  <si>
    <t>Entrarão em contato quando tiverem demandas</t>
  </si>
  <si>
    <t>Gasin</t>
  </si>
  <si>
    <t>Tabela de fretes em elaboração para envio - Descida Manaus x Nacional</t>
  </si>
  <si>
    <t>Elgin</t>
  </si>
  <si>
    <t>Tekno</t>
  </si>
  <si>
    <t>Tabela de fretes em elaboração para envio - Saída de Guaratinguetá</t>
  </si>
  <si>
    <t>ITT Intermodal Tankes</t>
  </si>
  <si>
    <t>Cliente irá realizar a visita em nossa feira e em nosso porto de Manaus para estreitar as negociações e fecharmos uma operação</t>
  </si>
  <si>
    <t>Docemineiro</t>
  </si>
  <si>
    <t>Envio tabela de preço</t>
  </si>
  <si>
    <t>Envio das documentações ao cliente para analise</t>
  </si>
  <si>
    <t>Cliente irá visitar nosso porto em Manaus dia 06/05</t>
  </si>
  <si>
    <t>Cadastro realizado</t>
  </si>
  <si>
    <t>Cliente declinou por conta do preço</t>
  </si>
  <si>
    <t>Realizamos uma nova proposta de valor</t>
  </si>
  <si>
    <t>Em processo de finalização de cadastro - prazo 45 dias</t>
  </si>
  <si>
    <t>Sem retorno do cliente</t>
  </si>
  <si>
    <t>Cliente sem abertura para negociação</t>
  </si>
  <si>
    <t>em contato novamente com o time somente em Agosto abriram para novas transportadoras</t>
  </si>
  <si>
    <t>Aguardando aprovação da tabela de Manaus - 4 cargas por mês, tendência de aumentar a volumetria</t>
  </si>
  <si>
    <t>Aguardando retonro da nossa seguradora para confirmar cobertura</t>
  </si>
  <si>
    <t>Diretoria de Novos Negócios passou o contato para o Wittemberg</t>
  </si>
  <si>
    <t>Aguardando cliente informar a volumetria para realizarmos a proposta comercial</t>
  </si>
  <si>
    <t>Wittemberg tentará falar com o Cássio da Piracanjuba</t>
  </si>
  <si>
    <t>Finalizando a precificação e envio ao cliente</t>
  </si>
  <si>
    <t>Aguardando retorno do cliente</t>
  </si>
  <si>
    <t>Usina Sonora</t>
  </si>
  <si>
    <t>Reunião com o cliente no dia 15/05</t>
  </si>
  <si>
    <t>Cliente nos passou questionamentos operacionais</t>
  </si>
  <si>
    <t>Enviamos asa respostas referente aos questionamentos operacionais do cliente</t>
  </si>
  <si>
    <t xml:space="preserve">na reuniao foi passado o valor de target que a transportadora já atende vamos fazer analise 390,00a tonelada  frete cheio saindo Sonora - MS x Porto Velho  1800 km frete fluivial 190,00 a tonelada frete cheio em estudo ficou enviavel tanto rodoviario e fluvial </t>
  </si>
  <si>
    <t>falamos hoje pela manha estao na feira afas e na segunda iram analisar a pressificação</t>
  </si>
  <si>
    <t>finalizamos a segunda parte de cadastro junto com time de cadastro</t>
  </si>
  <si>
    <t>A cliente me contactou para agendar a vistia no porto na segunda feira dia 19/05 para conhecer nossa estrutura</t>
  </si>
  <si>
    <t>Angelo esta de férias falou que em julho quando retornar vai analisar a possibilidade de cadastro</t>
  </si>
  <si>
    <t xml:space="preserve">estao em viagem assim que possivel iram passar a volemetria para desenharmos a operação </t>
  </si>
  <si>
    <t>falei com Rafael dando justificativa que esta sendo analisado a respeito do seguro</t>
  </si>
  <si>
    <t xml:space="preserve">na proxima semana dia 20 ou 21 o time ira visitar nosso porto em Manaus </t>
  </si>
  <si>
    <t>em contato com time repassaram que a previsão final de analise do Bid sera no incio de junho</t>
  </si>
  <si>
    <t>em contato com mesmo ainda não fizeram analise de precificação de rotas</t>
  </si>
  <si>
    <t>Pedro Gama Esta em viagem assim que retornar ira analisar nossa 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</si>
</sst>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</font>
    <font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/>
    <xf numFmtId="164" fontId="1" fillId="0" borderId="0" xfId="0" applyNumberFormat="1" applyFont="1"/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vertic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0" borderId="1" xfId="0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5738-7553-4E66-9C68-9903A3F01304}">
  <sheetPr codeName="Planilha1"/>
  <dimension ref="A1:F149"/>
  <sheetViews>
    <sheetView showGridLines="0" zoomScaleNormal="100" workbookViewId="0">
      <pane xSplit="6" ySplit="1" topLeftCell="G2" activePane="bottomRight" state="frozen"/>
      <selection pane="bottomRight" activeCell="E28" sqref="E28"/>
      <selection pane="bottomLeft" activeCell="A2" sqref="A2"/>
      <selection pane="topRight" activeCell="H1" sqref="H1"/>
    </sheetView>
  </sheetViews>
  <sheetFormatPr defaultColWidth="9.140625" defaultRowHeight="10.15"/>
  <cols>
    <col min="1" max="1" width="15.7109375" style="2" customWidth="1"/>
    <col min="2" max="2" width="20.7109375" style="2" customWidth="1"/>
    <col min="3" max="3" width="15.7109375" style="2" customWidth="1"/>
    <col min="4" max="4" width="160.140625" style="1" customWidth="1"/>
    <col min="5" max="5" width="19.140625" style="25" bestFit="1" customWidth="1"/>
    <col min="6" max="6" width="17.7109375" style="1" customWidth="1"/>
    <col min="7" max="16384" width="9.140625" style="1"/>
  </cols>
  <sheetData>
    <row r="1" spans="1:6">
      <c r="A1" s="6" t="s">
        <v>0</v>
      </c>
      <c r="B1" s="6" t="s">
        <v>1</v>
      </c>
      <c r="C1" s="6" t="s">
        <v>2</v>
      </c>
      <c r="D1" s="5" t="s">
        <v>3</v>
      </c>
      <c r="E1" s="21" t="s">
        <v>4</v>
      </c>
      <c r="F1" s="5" t="s">
        <v>5</v>
      </c>
    </row>
    <row r="2" spans="1:6">
      <c r="A2" s="7" t="s">
        <v>6</v>
      </c>
      <c r="B2" s="7" t="s">
        <v>7</v>
      </c>
      <c r="C2" s="9">
        <v>45750</v>
      </c>
      <c r="D2" s="43" t="s">
        <v>8</v>
      </c>
      <c r="E2" s="26">
        <v>181363.68</v>
      </c>
      <c r="F2" s="11" t="s">
        <v>9</v>
      </c>
    </row>
    <row r="3" spans="1:6" ht="20.45">
      <c r="A3" s="7" t="s">
        <v>6</v>
      </c>
      <c r="B3" s="7" t="s">
        <v>7</v>
      </c>
      <c r="C3" s="9">
        <v>45755</v>
      </c>
      <c r="D3" s="12" t="s">
        <v>10</v>
      </c>
      <c r="E3" s="26">
        <v>181363.68</v>
      </c>
      <c r="F3" s="11" t="s">
        <v>11</v>
      </c>
    </row>
    <row r="4" spans="1:6">
      <c r="A4" s="7" t="s">
        <v>6</v>
      </c>
      <c r="B4" s="7" t="s">
        <v>7</v>
      </c>
      <c r="C4" s="9">
        <v>45761</v>
      </c>
      <c r="D4" s="43" t="s">
        <v>12</v>
      </c>
      <c r="E4" s="26">
        <v>181363.68</v>
      </c>
      <c r="F4" s="11" t="s">
        <v>13</v>
      </c>
    </row>
    <row r="5" spans="1:6">
      <c r="A5" s="7" t="s">
        <v>6</v>
      </c>
      <c r="B5" s="7" t="s">
        <v>14</v>
      </c>
      <c r="C5" s="9">
        <v>45750</v>
      </c>
      <c r="D5" s="43" t="s">
        <v>15</v>
      </c>
      <c r="E5" s="26">
        <v>100000</v>
      </c>
      <c r="F5" s="11" t="s">
        <v>9</v>
      </c>
    </row>
    <row r="6" spans="1:6">
      <c r="A6" s="7" t="s">
        <v>6</v>
      </c>
      <c r="B6" s="7" t="s">
        <v>14</v>
      </c>
      <c r="C6" s="9">
        <v>45755</v>
      </c>
      <c r="D6" s="43" t="s">
        <v>16</v>
      </c>
      <c r="E6" s="26">
        <v>100000</v>
      </c>
      <c r="F6" s="11" t="s">
        <v>9</v>
      </c>
    </row>
    <row r="7" spans="1:6" ht="20.45">
      <c r="A7" s="7" t="s">
        <v>6</v>
      </c>
      <c r="B7" s="7" t="s">
        <v>14</v>
      </c>
      <c r="C7" s="9">
        <v>45761</v>
      </c>
      <c r="D7" s="43" t="s">
        <v>17</v>
      </c>
      <c r="E7" s="26">
        <v>100000</v>
      </c>
      <c r="F7" s="11" t="s">
        <v>11</v>
      </c>
    </row>
    <row r="8" spans="1:6">
      <c r="A8" s="7" t="s">
        <v>6</v>
      </c>
      <c r="B8" s="7" t="s">
        <v>18</v>
      </c>
      <c r="C8" s="9">
        <v>45750</v>
      </c>
      <c r="D8" s="10" t="s">
        <v>19</v>
      </c>
      <c r="E8" s="26">
        <v>0</v>
      </c>
      <c r="F8" s="11" t="s">
        <v>9</v>
      </c>
    </row>
    <row r="9" spans="1:6">
      <c r="A9" s="7" t="s">
        <v>6</v>
      </c>
      <c r="B9" s="7" t="s">
        <v>18</v>
      </c>
      <c r="C9" s="9">
        <v>45755</v>
      </c>
      <c r="D9" s="43" t="s">
        <v>20</v>
      </c>
      <c r="E9" s="26">
        <v>0</v>
      </c>
      <c r="F9" s="11" t="s">
        <v>11</v>
      </c>
    </row>
    <row r="10" spans="1:6" ht="15" customHeight="1">
      <c r="A10" s="7" t="s">
        <v>6</v>
      </c>
      <c r="B10" s="7" t="s">
        <v>18</v>
      </c>
      <c r="C10" s="9">
        <v>45761</v>
      </c>
      <c r="D10" s="10"/>
      <c r="E10" s="26">
        <v>0</v>
      </c>
      <c r="F10" s="11" t="s">
        <v>13</v>
      </c>
    </row>
    <row r="11" spans="1:6" ht="20.45">
      <c r="A11" s="7" t="s">
        <v>6</v>
      </c>
      <c r="B11" s="7" t="s">
        <v>21</v>
      </c>
      <c r="C11" s="9">
        <v>45755</v>
      </c>
      <c r="D11" s="43" t="s">
        <v>22</v>
      </c>
      <c r="E11" s="26">
        <v>0</v>
      </c>
      <c r="F11" s="11" t="s">
        <v>9</v>
      </c>
    </row>
    <row r="12" spans="1:6">
      <c r="A12" s="7" t="s">
        <v>6</v>
      </c>
      <c r="B12" s="7" t="s">
        <v>21</v>
      </c>
      <c r="C12" s="9">
        <v>45761</v>
      </c>
      <c r="D12" s="10" t="s">
        <v>23</v>
      </c>
      <c r="E12" s="26">
        <v>0</v>
      </c>
      <c r="F12" s="11" t="s">
        <v>13</v>
      </c>
    </row>
    <row r="13" spans="1:6">
      <c r="A13" s="7" t="s">
        <v>6</v>
      </c>
      <c r="B13" s="7" t="s">
        <v>24</v>
      </c>
      <c r="C13" s="9">
        <v>45761</v>
      </c>
      <c r="D13" s="43" t="s">
        <v>25</v>
      </c>
      <c r="E13" s="26">
        <v>0</v>
      </c>
      <c r="F13" s="11" t="s">
        <v>11</v>
      </c>
    </row>
    <row r="14" spans="1:6">
      <c r="A14" s="7" t="s">
        <v>6</v>
      </c>
      <c r="B14" s="7" t="s">
        <v>21</v>
      </c>
      <c r="C14" s="9">
        <v>45776</v>
      </c>
      <c r="D14" s="10" t="s">
        <v>26</v>
      </c>
      <c r="E14" s="26">
        <v>0</v>
      </c>
      <c r="F14" s="11" t="s">
        <v>27</v>
      </c>
    </row>
    <row r="15" spans="1:6">
      <c r="A15" s="7" t="s">
        <v>6</v>
      </c>
      <c r="B15" s="7" t="s">
        <v>7</v>
      </c>
      <c r="C15" s="9">
        <v>45776</v>
      </c>
      <c r="D15" s="43" t="s">
        <v>28</v>
      </c>
      <c r="E15" s="26">
        <v>181363.68</v>
      </c>
      <c r="F15" s="11" t="s">
        <v>27</v>
      </c>
    </row>
    <row r="16" spans="1:6">
      <c r="A16" s="7" t="s">
        <v>6</v>
      </c>
      <c r="B16" s="7" t="s">
        <v>24</v>
      </c>
      <c r="C16" s="9">
        <v>45776</v>
      </c>
      <c r="D16" s="10" t="s">
        <v>29</v>
      </c>
      <c r="E16" s="26">
        <v>0</v>
      </c>
      <c r="F16" s="11" t="s">
        <v>30</v>
      </c>
    </row>
    <row r="17" spans="1:6">
      <c r="A17" s="7" t="s">
        <v>6</v>
      </c>
      <c r="B17" s="7" t="s">
        <v>18</v>
      </c>
      <c r="C17" s="9">
        <v>45776</v>
      </c>
      <c r="D17" s="43" t="s">
        <v>31</v>
      </c>
      <c r="E17" s="26">
        <v>0</v>
      </c>
      <c r="F17" s="11" t="s">
        <v>32</v>
      </c>
    </row>
    <row r="18" spans="1:6" ht="20.45">
      <c r="A18" s="7" t="s">
        <v>6</v>
      </c>
      <c r="B18" s="7" t="s">
        <v>33</v>
      </c>
      <c r="C18" s="9">
        <v>45776</v>
      </c>
      <c r="D18" s="43" t="s">
        <v>34</v>
      </c>
      <c r="E18" s="26">
        <v>567000</v>
      </c>
      <c r="F18" s="11" t="s">
        <v>11</v>
      </c>
    </row>
    <row r="19" spans="1:6">
      <c r="A19" s="7" t="s">
        <v>6</v>
      </c>
      <c r="B19" s="7" t="s">
        <v>35</v>
      </c>
      <c r="C19" s="9">
        <v>45776</v>
      </c>
      <c r="D19" s="43" t="s">
        <v>36</v>
      </c>
      <c r="E19" s="26">
        <v>174954.6</v>
      </c>
      <c r="F19" s="11" t="s">
        <v>11</v>
      </c>
    </row>
    <row r="20" spans="1:6">
      <c r="A20" s="7" t="s">
        <v>6</v>
      </c>
      <c r="B20" s="7" t="s">
        <v>37</v>
      </c>
      <c r="C20" s="9">
        <v>45771</v>
      </c>
      <c r="D20" s="42" t="s">
        <v>38</v>
      </c>
      <c r="E20" s="24">
        <v>1140000</v>
      </c>
      <c r="F20" s="11" t="s">
        <v>11</v>
      </c>
    </row>
    <row r="21" spans="1:6">
      <c r="A21" s="7" t="s">
        <v>6</v>
      </c>
      <c r="B21" s="7" t="s">
        <v>39</v>
      </c>
      <c r="C21" s="9">
        <v>45771</v>
      </c>
      <c r="D21" s="42" t="s">
        <v>40</v>
      </c>
      <c r="E21" s="26">
        <v>0</v>
      </c>
      <c r="F21" s="11" t="s">
        <v>13</v>
      </c>
    </row>
    <row r="22" spans="1:6">
      <c r="A22" s="7" t="s">
        <v>6</v>
      </c>
      <c r="B22" s="7" t="s">
        <v>41</v>
      </c>
      <c r="C22" s="9">
        <v>45771</v>
      </c>
      <c r="D22" s="42" t="s">
        <v>42</v>
      </c>
      <c r="E22" s="24">
        <v>460000</v>
      </c>
      <c r="F22" s="11" t="s">
        <v>11</v>
      </c>
    </row>
    <row r="23" spans="1:6">
      <c r="A23" s="7" t="s">
        <v>6</v>
      </c>
      <c r="B23" s="7" t="s">
        <v>43</v>
      </c>
      <c r="C23" s="9">
        <v>45771</v>
      </c>
      <c r="D23" s="42" t="s">
        <v>44</v>
      </c>
      <c r="E23" s="26">
        <v>0</v>
      </c>
      <c r="F23" s="11" t="s">
        <v>13</v>
      </c>
    </row>
    <row r="24" spans="1:6">
      <c r="A24" s="7" t="s">
        <v>6</v>
      </c>
      <c r="B24" s="7" t="s">
        <v>45</v>
      </c>
      <c r="C24" s="9">
        <v>45771</v>
      </c>
      <c r="D24" s="42" t="s">
        <v>46</v>
      </c>
      <c r="E24" s="26">
        <v>0</v>
      </c>
      <c r="F24" s="11" t="s">
        <v>13</v>
      </c>
    </row>
    <row r="25" spans="1:6">
      <c r="A25" s="7" t="s">
        <v>6</v>
      </c>
      <c r="B25" s="7" t="s">
        <v>14</v>
      </c>
      <c r="C25" s="9">
        <v>45771</v>
      </c>
      <c r="D25" s="42" t="s">
        <v>47</v>
      </c>
      <c r="E25" s="26">
        <v>100000</v>
      </c>
      <c r="F25" s="11" t="s">
        <v>11</v>
      </c>
    </row>
    <row r="26" spans="1:6">
      <c r="A26" s="7" t="s">
        <v>6</v>
      </c>
      <c r="B26" s="7" t="s">
        <v>48</v>
      </c>
      <c r="C26" s="9">
        <v>45771</v>
      </c>
      <c r="D26" s="42" t="s">
        <v>49</v>
      </c>
      <c r="E26" s="26">
        <v>0</v>
      </c>
      <c r="F26" s="11" t="s">
        <v>13</v>
      </c>
    </row>
    <row r="27" spans="1:6">
      <c r="A27" s="7" t="s">
        <v>6</v>
      </c>
      <c r="B27" s="7" t="s">
        <v>39</v>
      </c>
      <c r="C27" s="9">
        <v>45777</v>
      </c>
      <c r="D27" s="42" t="s">
        <v>50</v>
      </c>
      <c r="E27" s="26">
        <v>0</v>
      </c>
      <c r="F27" s="11" t="s">
        <v>13</v>
      </c>
    </row>
    <row r="28" spans="1:6">
      <c r="A28" s="7" t="s">
        <v>6</v>
      </c>
      <c r="B28" s="7" t="s">
        <v>33</v>
      </c>
      <c r="C28" s="9">
        <v>45777</v>
      </c>
      <c r="D28" s="43" t="s">
        <v>51</v>
      </c>
      <c r="E28" s="26">
        <v>567000</v>
      </c>
      <c r="F28" s="11" t="s">
        <v>11</v>
      </c>
    </row>
    <row r="29" spans="1:6">
      <c r="A29" s="7" t="s">
        <v>6</v>
      </c>
      <c r="B29" s="7" t="s">
        <v>14</v>
      </c>
      <c r="C29" s="9">
        <v>45777</v>
      </c>
      <c r="D29" s="14" t="s">
        <v>52</v>
      </c>
      <c r="E29" s="26">
        <v>100000</v>
      </c>
      <c r="F29" s="11" t="s">
        <v>11</v>
      </c>
    </row>
    <row r="30" spans="1:6">
      <c r="A30" s="7" t="s">
        <v>6</v>
      </c>
      <c r="B30" s="7" t="s">
        <v>37</v>
      </c>
      <c r="C30" s="9">
        <v>45777</v>
      </c>
      <c r="D30" s="42" t="s">
        <v>53</v>
      </c>
      <c r="E30" s="24">
        <v>1140000</v>
      </c>
      <c r="F30" s="11" t="s">
        <v>13</v>
      </c>
    </row>
    <row r="31" spans="1:6">
      <c r="A31" s="7" t="s">
        <v>6</v>
      </c>
      <c r="B31" s="7" t="s">
        <v>45</v>
      </c>
      <c r="C31" s="9">
        <v>45777</v>
      </c>
      <c r="D31" s="42" t="s">
        <v>46</v>
      </c>
      <c r="E31" s="26">
        <v>0</v>
      </c>
      <c r="F31" s="11" t="s">
        <v>13</v>
      </c>
    </row>
    <row r="32" spans="1:6">
      <c r="A32" s="7" t="s">
        <v>6</v>
      </c>
      <c r="B32" s="7" t="s">
        <v>43</v>
      </c>
      <c r="C32" s="9">
        <v>45777</v>
      </c>
      <c r="D32" s="42" t="s">
        <v>54</v>
      </c>
      <c r="E32" s="26">
        <v>0</v>
      </c>
      <c r="F32" s="11" t="s">
        <v>13</v>
      </c>
    </row>
    <row r="33" spans="1:6">
      <c r="A33" s="7" t="s">
        <v>6</v>
      </c>
      <c r="B33" s="7" t="s">
        <v>48</v>
      </c>
      <c r="C33" s="9">
        <v>45777</v>
      </c>
      <c r="D33" s="42" t="s">
        <v>55</v>
      </c>
      <c r="E33" s="26">
        <v>0</v>
      </c>
      <c r="F33" s="11" t="s">
        <v>13</v>
      </c>
    </row>
    <row r="34" spans="1:6">
      <c r="A34" s="7" t="s">
        <v>6</v>
      </c>
      <c r="B34" s="7" t="s">
        <v>56</v>
      </c>
      <c r="C34" s="9">
        <v>45777</v>
      </c>
      <c r="D34" s="42" t="s">
        <v>57</v>
      </c>
      <c r="E34" s="26">
        <v>0</v>
      </c>
      <c r="F34" s="11" t="s">
        <v>11</v>
      </c>
    </row>
    <row r="35" spans="1:6">
      <c r="A35" s="7" t="s">
        <v>6</v>
      </c>
      <c r="B35" s="7" t="s">
        <v>58</v>
      </c>
      <c r="C35" s="9">
        <v>45777</v>
      </c>
      <c r="D35" s="42" t="s">
        <v>59</v>
      </c>
      <c r="E35" s="26">
        <v>0</v>
      </c>
      <c r="F35" s="11" t="s">
        <v>32</v>
      </c>
    </row>
    <row r="36" spans="1:6">
      <c r="A36" s="7" t="s">
        <v>6</v>
      </c>
      <c r="B36" s="7" t="s">
        <v>60</v>
      </c>
      <c r="C36" s="9">
        <v>45778</v>
      </c>
      <c r="D36" s="42" t="s">
        <v>61</v>
      </c>
      <c r="E36" s="26">
        <v>0</v>
      </c>
      <c r="F36" s="11" t="s">
        <v>9</v>
      </c>
    </row>
    <row r="37" spans="1:6">
      <c r="A37" s="7" t="s">
        <v>6</v>
      </c>
      <c r="B37" s="7" t="s">
        <v>48</v>
      </c>
      <c r="C37" s="9">
        <v>45778</v>
      </c>
      <c r="D37" s="42" t="s">
        <v>62</v>
      </c>
      <c r="E37" s="26">
        <v>0</v>
      </c>
      <c r="F37" s="11" t="s">
        <v>9</v>
      </c>
    </row>
    <row r="38" spans="1:6">
      <c r="A38" s="7" t="s">
        <v>6</v>
      </c>
      <c r="B38" s="7" t="s">
        <v>48</v>
      </c>
      <c r="C38" s="9">
        <v>45779</v>
      </c>
      <c r="D38" s="42" t="s">
        <v>63</v>
      </c>
      <c r="E38" s="26">
        <v>0</v>
      </c>
      <c r="F38" s="11" t="s">
        <v>11</v>
      </c>
    </row>
    <row r="39" spans="1:6">
      <c r="A39" s="7" t="s">
        <v>6</v>
      </c>
      <c r="B39" s="7" t="s">
        <v>48</v>
      </c>
      <c r="C39" s="9">
        <v>45786</v>
      </c>
      <c r="D39" s="42" t="s">
        <v>64</v>
      </c>
      <c r="E39" s="26">
        <v>0</v>
      </c>
      <c r="F39" s="11" t="s">
        <v>11</v>
      </c>
    </row>
    <row r="40" spans="1:6">
      <c r="A40" s="7" t="s">
        <v>6</v>
      </c>
      <c r="B40" s="7" t="s">
        <v>7</v>
      </c>
      <c r="C40" s="9">
        <v>45786</v>
      </c>
      <c r="D40" s="44" t="s">
        <v>65</v>
      </c>
      <c r="E40" s="26">
        <v>181363.68</v>
      </c>
      <c r="F40" s="11" t="s">
        <v>27</v>
      </c>
    </row>
    <row r="41" spans="1:6">
      <c r="A41" s="7" t="s">
        <v>6</v>
      </c>
      <c r="B41" s="7" t="s">
        <v>33</v>
      </c>
      <c r="C41" s="9">
        <v>45786</v>
      </c>
      <c r="D41" s="43" t="s">
        <v>66</v>
      </c>
      <c r="E41" s="26">
        <v>0</v>
      </c>
      <c r="F41" s="11" t="s">
        <v>32</v>
      </c>
    </row>
    <row r="42" spans="1:6">
      <c r="A42" s="7" t="s">
        <v>6</v>
      </c>
      <c r="B42" s="7" t="s">
        <v>21</v>
      </c>
      <c r="C42" s="9">
        <v>45786</v>
      </c>
      <c r="D42" s="43" t="s">
        <v>67</v>
      </c>
      <c r="E42" s="26">
        <v>0</v>
      </c>
      <c r="F42" s="11" t="s">
        <v>27</v>
      </c>
    </row>
    <row r="43" spans="1:6">
      <c r="A43" s="7" t="s">
        <v>6</v>
      </c>
      <c r="B43" s="7" t="s">
        <v>7</v>
      </c>
      <c r="C43" s="9">
        <v>45789</v>
      </c>
      <c r="D43" s="43" t="s">
        <v>68</v>
      </c>
      <c r="E43" s="26">
        <v>181363.68</v>
      </c>
      <c r="F43" s="11" t="s">
        <v>27</v>
      </c>
    </row>
    <row r="44" spans="1:6">
      <c r="A44" s="7" t="s">
        <v>6</v>
      </c>
      <c r="B44" s="7" t="s">
        <v>58</v>
      </c>
      <c r="C44" s="9">
        <v>45789</v>
      </c>
      <c r="D44" s="42" t="s">
        <v>69</v>
      </c>
      <c r="E44" s="26">
        <v>0</v>
      </c>
      <c r="F44" s="11" t="s">
        <v>13</v>
      </c>
    </row>
    <row r="45" spans="1:6">
      <c r="A45" s="7" t="s">
        <v>6</v>
      </c>
      <c r="B45" s="7" t="s">
        <v>14</v>
      </c>
      <c r="C45" s="9">
        <v>45789</v>
      </c>
      <c r="D45" s="42" t="s">
        <v>70</v>
      </c>
      <c r="E45" s="26">
        <v>100000</v>
      </c>
      <c r="F45" s="11" t="s">
        <v>11</v>
      </c>
    </row>
    <row r="46" spans="1:6">
      <c r="A46" s="7" t="s">
        <v>6</v>
      </c>
      <c r="B46" s="7" t="s">
        <v>37</v>
      </c>
      <c r="C46" s="9">
        <v>45789</v>
      </c>
      <c r="D46" s="12" t="s">
        <v>71</v>
      </c>
      <c r="E46" s="29">
        <v>1140000</v>
      </c>
      <c r="F46" s="11" t="s">
        <v>11</v>
      </c>
    </row>
    <row r="47" spans="1:6">
      <c r="A47" s="7" t="s">
        <v>6</v>
      </c>
      <c r="B47" s="7" t="s">
        <v>35</v>
      </c>
      <c r="C47" s="9">
        <v>45789</v>
      </c>
      <c r="D47" s="43" t="s">
        <v>72</v>
      </c>
      <c r="E47" s="26">
        <v>174954.6</v>
      </c>
      <c r="F47" s="11" t="s">
        <v>11</v>
      </c>
    </row>
    <row r="48" spans="1:6">
      <c r="A48" s="7" t="s">
        <v>6</v>
      </c>
      <c r="B48" s="7" t="s">
        <v>41</v>
      </c>
      <c r="C48" s="9">
        <v>45789</v>
      </c>
      <c r="D48" s="42" t="s">
        <v>73</v>
      </c>
      <c r="E48" s="24">
        <v>460000</v>
      </c>
      <c r="F48" s="11" t="s">
        <v>11</v>
      </c>
    </row>
    <row r="49" spans="1:6">
      <c r="A49" s="7" t="s">
        <v>6</v>
      </c>
      <c r="B49" s="7" t="s">
        <v>45</v>
      </c>
      <c r="C49" s="9">
        <v>45789</v>
      </c>
      <c r="D49" s="42" t="s">
        <v>74</v>
      </c>
      <c r="E49" s="26">
        <v>0</v>
      </c>
      <c r="F49" s="11" t="s">
        <v>11</v>
      </c>
    </row>
    <row r="50" spans="1:6">
      <c r="A50" s="7" t="s">
        <v>6</v>
      </c>
      <c r="B50" s="7" t="s">
        <v>39</v>
      </c>
      <c r="C50" s="9">
        <v>45789</v>
      </c>
      <c r="D50" s="42" t="s">
        <v>75</v>
      </c>
      <c r="E50" s="26">
        <v>0</v>
      </c>
      <c r="F50" s="11" t="s">
        <v>13</v>
      </c>
    </row>
    <row r="51" spans="1:6">
      <c r="A51" s="7" t="s">
        <v>6</v>
      </c>
      <c r="B51" s="7" t="s">
        <v>60</v>
      </c>
      <c r="C51" s="9">
        <v>45789</v>
      </c>
      <c r="D51" s="42" t="s">
        <v>76</v>
      </c>
      <c r="E51" s="26">
        <v>0</v>
      </c>
      <c r="F51" s="11" t="s">
        <v>9</v>
      </c>
    </row>
    <row r="52" spans="1:6">
      <c r="A52" s="7" t="s">
        <v>6</v>
      </c>
      <c r="B52" s="7" t="s">
        <v>43</v>
      </c>
      <c r="C52" s="9">
        <v>45789</v>
      </c>
      <c r="D52" s="42" t="s">
        <v>77</v>
      </c>
      <c r="E52" s="26">
        <v>0</v>
      </c>
      <c r="F52" s="11" t="s">
        <v>13</v>
      </c>
    </row>
    <row r="53" spans="1:6">
      <c r="A53" s="7" t="s">
        <v>6</v>
      </c>
      <c r="B53" s="7" t="s">
        <v>48</v>
      </c>
      <c r="C53" s="9">
        <v>45789</v>
      </c>
      <c r="D53" s="42" t="s">
        <v>78</v>
      </c>
      <c r="E53" s="26">
        <f>135000*4</f>
        <v>540000</v>
      </c>
      <c r="F53" s="11" t="s">
        <v>30</v>
      </c>
    </row>
    <row r="54" spans="1:6">
      <c r="A54" s="7" t="s">
        <v>6</v>
      </c>
      <c r="B54" s="7" t="s">
        <v>56</v>
      </c>
      <c r="C54" s="9">
        <v>45789</v>
      </c>
      <c r="D54" s="42" t="s">
        <v>79</v>
      </c>
      <c r="E54" s="26">
        <v>0</v>
      </c>
      <c r="F54" s="11" t="s">
        <v>11</v>
      </c>
    </row>
    <row r="55" spans="1:6">
      <c r="A55" s="7" t="s">
        <v>6</v>
      </c>
      <c r="B55" s="7" t="s">
        <v>80</v>
      </c>
      <c r="C55" s="9">
        <v>45789</v>
      </c>
      <c r="D55" s="42" t="s">
        <v>81</v>
      </c>
      <c r="E55" s="24">
        <v>270000</v>
      </c>
      <c r="F55" s="11" t="s">
        <v>30</v>
      </c>
    </row>
    <row r="56" spans="1:6">
      <c r="A56" s="7" t="s">
        <v>6</v>
      </c>
      <c r="B56" s="7" t="s">
        <v>33</v>
      </c>
      <c r="C56" s="9">
        <v>45790</v>
      </c>
      <c r="D56" s="43" t="s">
        <v>82</v>
      </c>
      <c r="E56" s="26">
        <v>0</v>
      </c>
      <c r="F56" s="11" t="s">
        <v>11</v>
      </c>
    </row>
    <row r="57" spans="1:6">
      <c r="A57" s="7" t="s">
        <v>6</v>
      </c>
      <c r="B57" s="7" t="s">
        <v>37</v>
      </c>
      <c r="C57" s="9">
        <v>45789</v>
      </c>
      <c r="D57" s="12" t="s">
        <v>83</v>
      </c>
      <c r="E57" s="29">
        <v>1140000</v>
      </c>
      <c r="F57" s="11" t="s">
        <v>11</v>
      </c>
    </row>
    <row r="58" spans="1:6">
      <c r="A58" s="7"/>
      <c r="B58" s="7"/>
      <c r="C58" s="9"/>
      <c r="D58" s="14"/>
      <c r="E58" s="24"/>
      <c r="F58" s="11"/>
    </row>
    <row r="59" spans="1:6">
      <c r="A59" s="7"/>
      <c r="B59" s="7"/>
      <c r="C59" s="9"/>
      <c r="D59" s="14"/>
      <c r="E59" s="24"/>
      <c r="F59" s="11"/>
    </row>
    <row r="60" spans="1:6">
      <c r="A60" s="7"/>
      <c r="B60" s="7"/>
      <c r="C60" s="9"/>
      <c r="D60" s="14"/>
      <c r="E60" s="24"/>
      <c r="F60" s="11"/>
    </row>
    <row r="61" spans="1:6">
      <c r="A61" s="7"/>
      <c r="B61" s="7"/>
      <c r="C61" s="9"/>
      <c r="D61" s="14"/>
      <c r="E61" s="24"/>
      <c r="F61" s="11"/>
    </row>
    <row r="62" spans="1:6">
      <c r="A62" s="7"/>
      <c r="B62" s="7"/>
      <c r="C62" s="9"/>
      <c r="D62" s="14"/>
      <c r="E62" s="24"/>
      <c r="F62" s="11"/>
    </row>
    <row r="63" spans="1:6">
      <c r="A63" s="7"/>
      <c r="B63" s="7"/>
      <c r="C63" s="9"/>
      <c r="D63" s="14"/>
      <c r="E63" s="24"/>
      <c r="F63" s="11"/>
    </row>
    <row r="64" spans="1:6">
      <c r="A64" s="7"/>
      <c r="B64" s="7"/>
      <c r="C64" s="9"/>
      <c r="D64" s="14"/>
      <c r="E64" s="24"/>
      <c r="F64" s="11"/>
    </row>
    <row r="65" spans="1:6">
      <c r="A65" s="7"/>
      <c r="B65" s="7"/>
      <c r="C65" s="9"/>
      <c r="D65" s="14"/>
      <c r="E65" s="24"/>
      <c r="F65" s="11"/>
    </row>
    <row r="66" spans="1:6">
      <c r="A66" s="7"/>
      <c r="B66" s="7"/>
      <c r="C66" s="9"/>
      <c r="D66" s="14"/>
      <c r="E66" s="24"/>
      <c r="F66" s="11"/>
    </row>
    <row r="67" spans="1:6">
      <c r="A67" s="7"/>
      <c r="B67" s="7"/>
      <c r="C67" s="9"/>
      <c r="D67" s="14"/>
      <c r="E67" s="24"/>
      <c r="F67" s="11"/>
    </row>
    <row r="68" spans="1:6">
      <c r="A68" s="7"/>
      <c r="B68" s="7"/>
      <c r="C68" s="9"/>
      <c r="D68" s="14"/>
      <c r="E68" s="24"/>
      <c r="F68" s="11"/>
    </row>
    <row r="69" spans="1:6">
      <c r="A69" s="7"/>
      <c r="B69" s="7"/>
      <c r="C69" s="9"/>
      <c r="D69" s="14"/>
      <c r="E69" s="24"/>
      <c r="F69" s="11"/>
    </row>
    <row r="70" spans="1:6">
      <c r="A70" s="7"/>
      <c r="B70" s="7"/>
      <c r="C70" s="9"/>
      <c r="D70" s="14"/>
      <c r="E70" s="24"/>
      <c r="F70" s="11"/>
    </row>
    <row r="71" spans="1:6">
      <c r="A71" s="7"/>
      <c r="B71" s="7"/>
      <c r="C71" s="9"/>
      <c r="D71" s="14"/>
      <c r="E71" s="24"/>
      <c r="F71" s="11"/>
    </row>
    <row r="72" spans="1:6">
      <c r="A72" s="7"/>
      <c r="B72" s="7"/>
      <c r="C72" s="9"/>
      <c r="D72" s="14"/>
      <c r="E72" s="24"/>
      <c r="F72" s="11"/>
    </row>
    <row r="73" spans="1:6">
      <c r="A73" s="7"/>
      <c r="B73" s="7"/>
      <c r="C73" s="9"/>
      <c r="D73" s="14"/>
      <c r="E73" s="24"/>
      <c r="F73" s="11"/>
    </row>
    <row r="74" spans="1:6">
      <c r="A74" s="7"/>
      <c r="B74" s="7"/>
      <c r="C74" s="9"/>
      <c r="D74" s="14"/>
      <c r="E74" s="24"/>
      <c r="F74" s="11"/>
    </row>
    <row r="75" spans="1:6">
      <c r="A75" s="7"/>
      <c r="B75" s="7"/>
      <c r="C75" s="9"/>
      <c r="D75" s="14"/>
      <c r="E75" s="24"/>
      <c r="F75" s="11"/>
    </row>
    <row r="76" spans="1:6">
      <c r="A76" s="7"/>
      <c r="B76" s="7"/>
      <c r="C76" s="9"/>
      <c r="D76" s="14"/>
      <c r="E76" s="24"/>
      <c r="F76" s="11"/>
    </row>
    <row r="77" spans="1:6">
      <c r="A77" s="7"/>
      <c r="B77" s="7"/>
      <c r="C77" s="9"/>
      <c r="D77" s="14"/>
      <c r="E77" s="24"/>
      <c r="F77" s="11"/>
    </row>
    <row r="78" spans="1:6">
      <c r="A78" s="7"/>
      <c r="B78" s="7"/>
      <c r="C78" s="9"/>
      <c r="D78" s="14"/>
      <c r="E78" s="24"/>
      <c r="F78" s="11"/>
    </row>
    <row r="79" spans="1:6">
      <c r="A79" s="7"/>
      <c r="B79" s="7"/>
      <c r="C79" s="9"/>
      <c r="D79" s="14"/>
      <c r="E79" s="24"/>
      <c r="F79" s="11"/>
    </row>
    <row r="80" spans="1:6">
      <c r="A80" s="7"/>
      <c r="B80" s="7"/>
      <c r="C80" s="9"/>
      <c r="D80" s="14"/>
      <c r="E80" s="24"/>
      <c r="F80" s="11"/>
    </row>
    <row r="81" spans="1:6">
      <c r="A81" s="7"/>
      <c r="B81" s="7"/>
      <c r="C81" s="9"/>
      <c r="D81" s="14"/>
      <c r="E81" s="24"/>
      <c r="F81" s="11"/>
    </row>
    <row r="82" spans="1:6">
      <c r="A82" s="7"/>
      <c r="B82" s="7"/>
      <c r="C82" s="9"/>
      <c r="D82" s="14"/>
      <c r="E82" s="24"/>
      <c r="F82" s="11"/>
    </row>
    <row r="83" spans="1:6">
      <c r="A83" s="7"/>
      <c r="B83" s="7"/>
      <c r="C83" s="9"/>
      <c r="D83" s="14"/>
      <c r="E83" s="24"/>
      <c r="F83" s="11"/>
    </row>
    <row r="84" spans="1:6">
      <c r="A84" s="7"/>
      <c r="B84" s="7"/>
      <c r="C84" s="9"/>
      <c r="D84" s="14"/>
      <c r="E84" s="24"/>
      <c r="F84" s="11"/>
    </row>
    <row r="85" spans="1:6">
      <c r="A85" s="7"/>
      <c r="B85" s="7"/>
      <c r="C85" s="9"/>
      <c r="D85" s="14"/>
      <c r="E85" s="24"/>
      <c r="F85" s="11"/>
    </row>
    <row r="86" spans="1:6">
      <c r="A86" s="7"/>
      <c r="B86" s="7"/>
      <c r="C86" s="9"/>
      <c r="D86" s="14"/>
      <c r="E86" s="24"/>
      <c r="F86" s="11"/>
    </row>
    <row r="87" spans="1:6">
      <c r="A87" s="7"/>
      <c r="B87" s="7"/>
      <c r="C87" s="9"/>
      <c r="D87" s="14"/>
      <c r="E87" s="24"/>
      <c r="F87" s="11"/>
    </row>
    <row r="88" spans="1:6">
      <c r="A88" s="7"/>
      <c r="B88" s="7"/>
      <c r="C88" s="9"/>
      <c r="D88" s="14"/>
      <c r="E88" s="24"/>
      <c r="F88" s="11"/>
    </row>
    <row r="89" spans="1:6">
      <c r="A89" s="7"/>
      <c r="B89" s="7"/>
      <c r="C89" s="9"/>
      <c r="D89" s="14"/>
      <c r="E89" s="24"/>
      <c r="F89" s="11"/>
    </row>
    <row r="90" spans="1:6">
      <c r="A90" s="7"/>
      <c r="B90" s="7"/>
      <c r="C90" s="9"/>
      <c r="D90" s="14"/>
      <c r="E90" s="24"/>
      <c r="F90" s="11"/>
    </row>
    <row r="91" spans="1:6">
      <c r="A91" s="7"/>
      <c r="B91" s="7"/>
      <c r="C91" s="9"/>
      <c r="D91" s="14"/>
      <c r="E91" s="24"/>
      <c r="F91" s="11"/>
    </row>
    <row r="92" spans="1:6">
      <c r="A92" s="7"/>
      <c r="B92" s="7"/>
      <c r="C92" s="9"/>
      <c r="D92" s="14"/>
      <c r="E92" s="24"/>
      <c r="F92" s="11"/>
    </row>
    <row r="93" spans="1:6">
      <c r="A93" s="7"/>
      <c r="B93" s="7"/>
      <c r="C93" s="9"/>
      <c r="D93" s="14"/>
      <c r="E93" s="24"/>
      <c r="F93" s="11"/>
    </row>
    <row r="94" spans="1:6">
      <c r="A94" s="7"/>
      <c r="B94" s="7"/>
      <c r="C94" s="9"/>
      <c r="D94" s="14"/>
      <c r="E94" s="24"/>
      <c r="F94" s="11"/>
    </row>
    <row r="95" spans="1:6">
      <c r="A95" s="7"/>
      <c r="B95" s="7"/>
      <c r="C95" s="9"/>
      <c r="D95" s="14"/>
      <c r="E95" s="24"/>
      <c r="F95" s="11"/>
    </row>
    <row r="96" spans="1:6">
      <c r="A96" s="7"/>
      <c r="B96" s="7"/>
      <c r="C96" s="9"/>
      <c r="D96" s="14"/>
      <c r="E96" s="24"/>
      <c r="F96" s="11"/>
    </row>
    <row r="97" spans="1:6">
      <c r="A97" s="7"/>
      <c r="B97" s="7"/>
      <c r="C97" s="9"/>
      <c r="D97" s="14"/>
      <c r="E97" s="24"/>
      <c r="F97" s="11"/>
    </row>
    <row r="98" spans="1:6">
      <c r="A98" s="7"/>
      <c r="B98" s="7"/>
      <c r="C98" s="9"/>
      <c r="D98" s="14"/>
      <c r="E98" s="24"/>
      <c r="F98" s="11"/>
    </row>
    <row r="99" spans="1:6">
      <c r="C99" s="4"/>
    </row>
    <row r="100" spans="1:6">
      <c r="C100" s="4"/>
    </row>
    <row r="101" spans="1:6">
      <c r="C101" s="4"/>
    </row>
    <row r="102" spans="1:6">
      <c r="C102" s="4"/>
    </row>
    <row r="103" spans="1:6">
      <c r="C103" s="4"/>
    </row>
    <row r="104" spans="1:6">
      <c r="C104" s="4"/>
    </row>
    <row r="105" spans="1:6">
      <c r="C105" s="4"/>
    </row>
    <row r="106" spans="1:6">
      <c r="C106" s="4"/>
    </row>
    <row r="107" spans="1:6">
      <c r="C107" s="4"/>
    </row>
    <row r="108" spans="1:6">
      <c r="C108" s="4"/>
    </row>
    <row r="109" spans="1:6">
      <c r="C109" s="4"/>
    </row>
    <row r="110" spans="1:6">
      <c r="C110" s="4"/>
    </row>
    <row r="111" spans="1:6">
      <c r="C111" s="4"/>
    </row>
    <row r="112" spans="1:6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</sheetData>
  <autoFilter ref="A1:F57" xr:uid="{77415738-7553-4E66-9C68-9903A3F01304}"/>
  <dataValidations count="1">
    <dataValidation type="list" allowBlank="1" showInputMessage="1" showErrorMessage="1" sqref="F2:F98" xr:uid="{2BE1D004-B40F-4D62-AB85-7CC5888C8C1F}">
      <formula1>"Contato inicial, Envio de tabelas, Negociações, Cadastro/BID, Go live, Stand by, Declinado"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9020-E6CC-4D69-90E6-6349C96EFD06}">
  <sheetPr codeName="Planilha2"/>
  <dimension ref="A1:F187"/>
  <sheetViews>
    <sheetView showGridLines="0" zoomScale="145" zoomScaleNormal="145" workbookViewId="0">
      <pane ySplit="1" topLeftCell="A42" activePane="bottomLeft" state="frozen"/>
      <selection pane="bottomLeft" activeCell="C70" sqref="C70"/>
      <selection activeCell="E11" sqref="E11"/>
    </sheetView>
  </sheetViews>
  <sheetFormatPr defaultColWidth="9.140625" defaultRowHeight="10.15"/>
  <cols>
    <col min="1" max="1" width="15.7109375" style="28" customWidth="1"/>
    <col min="2" max="2" width="23.140625" style="28" customWidth="1"/>
    <col min="3" max="3" width="15.7109375" style="2" customWidth="1"/>
    <col min="4" max="4" width="80" style="1" customWidth="1"/>
    <col min="5" max="5" width="19.140625" style="1" bestFit="1" customWidth="1"/>
    <col min="6" max="6" width="17.7109375" style="1" customWidth="1"/>
    <col min="7" max="16384" width="9.140625" style="1"/>
  </cols>
  <sheetData>
    <row r="1" spans="1:6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</row>
    <row r="2" spans="1:6" s="3" customFormat="1" ht="30.6">
      <c r="A2" s="19" t="s">
        <v>84</v>
      </c>
      <c r="B2" s="19" t="s">
        <v>85</v>
      </c>
      <c r="C2" s="20">
        <v>45755</v>
      </c>
      <c r="D2" s="18" t="s">
        <v>86</v>
      </c>
      <c r="E2" s="23">
        <v>0</v>
      </c>
      <c r="F2" s="11" t="s">
        <v>9</v>
      </c>
    </row>
    <row r="3" spans="1:6" ht="20.45">
      <c r="A3" s="19" t="s">
        <v>84</v>
      </c>
      <c r="B3" s="19" t="s">
        <v>87</v>
      </c>
      <c r="C3" s="20">
        <v>45755</v>
      </c>
      <c r="D3" s="18" t="s">
        <v>88</v>
      </c>
      <c r="E3" s="23">
        <v>0</v>
      </c>
      <c r="F3" s="11" t="s">
        <v>13</v>
      </c>
    </row>
    <row r="4" spans="1:6" ht="20.45">
      <c r="A4" s="19" t="s">
        <v>84</v>
      </c>
      <c r="B4" s="19" t="s">
        <v>89</v>
      </c>
      <c r="C4" s="20">
        <v>45755</v>
      </c>
      <c r="D4" s="18" t="s">
        <v>90</v>
      </c>
      <c r="E4" s="23">
        <v>0</v>
      </c>
      <c r="F4" s="11" t="s">
        <v>9</v>
      </c>
    </row>
    <row r="5" spans="1:6" ht="30.6">
      <c r="A5" s="19" t="s">
        <v>84</v>
      </c>
      <c r="B5" s="19" t="s">
        <v>91</v>
      </c>
      <c r="C5" s="20">
        <v>45755</v>
      </c>
      <c r="D5" s="18" t="s">
        <v>92</v>
      </c>
      <c r="E5" s="23">
        <f>27520000/12</f>
        <v>2293333.3333333335</v>
      </c>
      <c r="F5" s="11" t="s">
        <v>9</v>
      </c>
    </row>
    <row r="6" spans="1:6" ht="20.45">
      <c r="A6" s="19" t="s">
        <v>84</v>
      </c>
      <c r="B6" s="19" t="s">
        <v>91</v>
      </c>
      <c r="C6" s="20">
        <v>45761</v>
      </c>
      <c r="D6" s="18" t="s">
        <v>93</v>
      </c>
      <c r="E6" s="23">
        <f>27520000/12</f>
        <v>2293333.3333333335</v>
      </c>
      <c r="F6" s="11" t="s">
        <v>27</v>
      </c>
    </row>
    <row r="7" spans="1:6" ht="30.6">
      <c r="A7" s="19" t="s">
        <v>84</v>
      </c>
      <c r="B7" s="19" t="s">
        <v>94</v>
      </c>
      <c r="C7" s="20">
        <v>45761</v>
      </c>
      <c r="D7" s="18" t="s">
        <v>95</v>
      </c>
      <c r="E7" s="23">
        <v>0</v>
      </c>
      <c r="F7" s="11" t="s">
        <v>9</v>
      </c>
    </row>
    <row r="8" spans="1:6">
      <c r="A8" s="19" t="s">
        <v>84</v>
      </c>
      <c r="B8" s="19" t="s">
        <v>96</v>
      </c>
      <c r="C8" s="20">
        <v>45761</v>
      </c>
      <c r="D8" s="18" t="s">
        <v>97</v>
      </c>
      <c r="E8" s="23">
        <v>0</v>
      </c>
      <c r="F8" s="11" t="s">
        <v>9</v>
      </c>
    </row>
    <row r="9" spans="1:6" ht="20.45">
      <c r="A9" s="19" t="s">
        <v>84</v>
      </c>
      <c r="B9" s="19" t="s">
        <v>98</v>
      </c>
      <c r="C9" s="20">
        <v>45761</v>
      </c>
      <c r="D9" s="18" t="s">
        <v>99</v>
      </c>
      <c r="E9" s="23">
        <v>60000</v>
      </c>
      <c r="F9" s="11" t="s">
        <v>13</v>
      </c>
    </row>
    <row r="10" spans="1:6">
      <c r="A10" s="19" t="s">
        <v>84</v>
      </c>
      <c r="B10" s="19" t="s">
        <v>100</v>
      </c>
      <c r="C10" s="20">
        <v>45761</v>
      </c>
      <c r="D10" s="18" t="s">
        <v>101</v>
      </c>
      <c r="E10" s="23">
        <v>3960000</v>
      </c>
      <c r="F10" s="11" t="s">
        <v>11</v>
      </c>
    </row>
    <row r="11" spans="1:6" ht="20.45">
      <c r="A11" s="19" t="s">
        <v>84</v>
      </c>
      <c r="B11" s="19" t="s">
        <v>102</v>
      </c>
      <c r="C11" s="20">
        <v>45761</v>
      </c>
      <c r="D11" s="18" t="s">
        <v>103</v>
      </c>
      <c r="E11" s="23">
        <v>0</v>
      </c>
      <c r="F11" s="11" t="s">
        <v>13</v>
      </c>
    </row>
    <row r="12" spans="1:6">
      <c r="A12" s="19" t="s">
        <v>84</v>
      </c>
      <c r="B12" s="19" t="s">
        <v>104</v>
      </c>
      <c r="C12" s="20">
        <v>45761</v>
      </c>
      <c r="D12" s="18" t="s">
        <v>105</v>
      </c>
      <c r="E12" s="23">
        <v>0</v>
      </c>
      <c r="F12" s="11" t="s">
        <v>9</v>
      </c>
    </row>
    <row r="13" spans="1:6">
      <c r="A13" s="19" t="s">
        <v>84</v>
      </c>
      <c r="B13" s="19" t="s">
        <v>106</v>
      </c>
      <c r="C13" s="20">
        <v>45761</v>
      </c>
      <c r="D13" s="18" t="s">
        <v>107</v>
      </c>
      <c r="E13" s="23">
        <v>0</v>
      </c>
      <c r="F13" s="11" t="s">
        <v>9</v>
      </c>
    </row>
    <row r="14" spans="1:6" ht="20.45">
      <c r="A14" s="19" t="s">
        <v>84</v>
      </c>
      <c r="B14" s="19" t="s">
        <v>108</v>
      </c>
      <c r="C14" s="20">
        <v>45761</v>
      </c>
      <c r="D14" s="18" t="s">
        <v>109</v>
      </c>
      <c r="E14" s="23">
        <v>0</v>
      </c>
      <c r="F14" s="11" t="s">
        <v>13</v>
      </c>
    </row>
    <row r="15" spans="1:6">
      <c r="A15" s="27" t="s">
        <v>84</v>
      </c>
      <c r="B15" s="27" t="s">
        <v>110</v>
      </c>
      <c r="C15" s="9">
        <v>45764</v>
      </c>
      <c r="D15" s="14" t="s">
        <v>111</v>
      </c>
      <c r="E15" s="23">
        <v>0</v>
      </c>
      <c r="F15" s="11" t="s">
        <v>13</v>
      </c>
    </row>
    <row r="16" spans="1:6">
      <c r="A16" s="27" t="s">
        <v>84</v>
      </c>
      <c r="B16" s="27" t="s">
        <v>112</v>
      </c>
      <c r="C16" s="9">
        <v>45769</v>
      </c>
      <c r="D16" s="14" t="s">
        <v>113</v>
      </c>
      <c r="E16" s="23">
        <v>0</v>
      </c>
      <c r="F16" s="11" t="s">
        <v>9</v>
      </c>
    </row>
    <row r="17" spans="1:6">
      <c r="A17" s="27" t="s">
        <v>84</v>
      </c>
      <c r="B17" s="27" t="s">
        <v>100</v>
      </c>
      <c r="C17" s="9">
        <v>45779</v>
      </c>
      <c r="D17" s="14" t="s">
        <v>114</v>
      </c>
      <c r="E17" s="24">
        <v>3960000</v>
      </c>
      <c r="F17" s="11" t="s">
        <v>11</v>
      </c>
    </row>
    <row r="18" spans="1:6">
      <c r="A18" s="27" t="s">
        <v>84</v>
      </c>
      <c r="B18" s="27" t="s">
        <v>115</v>
      </c>
      <c r="C18" s="9">
        <v>45770</v>
      </c>
      <c r="D18" s="14" t="s">
        <v>116</v>
      </c>
      <c r="E18" s="23">
        <v>0</v>
      </c>
      <c r="F18" s="11" t="s">
        <v>9</v>
      </c>
    </row>
    <row r="19" spans="1:6">
      <c r="A19" s="27" t="s">
        <v>84</v>
      </c>
      <c r="B19" s="27" t="s">
        <v>117</v>
      </c>
      <c r="C19" s="9">
        <v>45770</v>
      </c>
      <c r="D19" s="14" t="s">
        <v>113</v>
      </c>
      <c r="E19" s="23">
        <v>0</v>
      </c>
      <c r="F19" s="11" t="s">
        <v>13</v>
      </c>
    </row>
    <row r="20" spans="1:6">
      <c r="A20" s="27" t="s">
        <v>84</v>
      </c>
      <c r="B20" s="27" t="s">
        <v>118</v>
      </c>
      <c r="C20" s="9">
        <v>45770</v>
      </c>
      <c r="D20" s="14" t="s">
        <v>119</v>
      </c>
      <c r="E20" s="23">
        <v>0</v>
      </c>
      <c r="F20" s="11" t="s">
        <v>30</v>
      </c>
    </row>
    <row r="21" spans="1:6">
      <c r="A21" s="27" t="s">
        <v>84</v>
      </c>
      <c r="B21" s="27" t="s">
        <v>120</v>
      </c>
      <c r="C21" s="9">
        <v>45770</v>
      </c>
      <c r="D21" s="14" t="s">
        <v>113</v>
      </c>
      <c r="E21" s="23">
        <v>0</v>
      </c>
      <c r="F21" s="11" t="s">
        <v>9</v>
      </c>
    </row>
    <row r="22" spans="1:6">
      <c r="A22" s="27" t="s">
        <v>84</v>
      </c>
      <c r="B22" s="27" t="s">
        <v>121</v>
      </c>
      <c r="C22" s="9">
        <v>45770</v>
      </c>
      <c r="D22" s="14" t="s">
        <v>113</v>
      </c>
      <c r="E22" s="23">
        <v>0</v>
      </c>
      <c r="F22" s="11" t="s">
        <v>9</v>
      </c>
    </row>
    <row r="23" spans="1:6">
      <c r="A23" s="27" t="s">
        <v>84</v>
      </c>
      <c r="B23" s="27" t="s">
        <v>122</v>
      </c>
      <c r="C23" s="9">
        <v>45770</v>
      </c>
      <c r="D23" s="14" t="s">
        <v>113</v>
      </c>
      <c r="E23" s="23">
        <v>0</v>
      </c>
      <c r="F23" s="11" t="s">
        <v>9</v>
      </c>
    </row>
    <row r="24" spans="1:6">
      <c r="A24" s="27" t="s">
        <v>84</v>
      </c>
      <c r="B24" s="27" t="s">
        <v>123</v>
      </c>
      <c r="C24" s="9">
        <v>45770</v>
      </c>
      <c r="D24" s="14" t="s">
        <v>116</v>
      </c>
      <c r="E24" s="23">
        <v>0</v>
      </c>
      <c r="F24" s="11" t="s">
        <v>9</v>
      </c>
    </row>
    <row r="25" spans="1:6">
      <c r="A25" s="27" t="s">
        <v>84</v>
      </c>
      <c r="B25" s="27" t="s">
        <v>124</v>
      </c>
      <c r="C25" s="9">
        <v>45771</v>
      </c>
      <c r="D25" s="14" t="s">
        <v>125</v>
      </c>
      <c r="E25" s="23">
        <v>0</v>
      </c>
      <c r="F25" s="11" t="s">
        <v>9</v>
      </c>
    </row>
    <row r="26" spans="1:6">
      <c r="A26" s="27" t="s">
        <v>84</v>
      </c>
      <c r="B26" s="27" t="s">
        <v>126</v>
      </c>
      <c r="C26" s="9">
        <v>45771</v>
      </c>
      <c r="D26" s="14" t="s">
        <v>113</v>
      </c>
      <c r="E26" s="23">
        <v>0</v>
      </c>
      <c r="F26" s="11" t="s">
        <v>9</v>
      </c>
    </row>
    <row r="27" spans="1:6">
      <c r="A27" s="27" t="s">
        <v>84</v>
      </c>
      <c r="B27" s="27" t="s">
        <v>127</v>
      </c>
      <c r="C27" s="9">
        <v>45771</v>
      </c>
      <c r="D27" s="14" t="s">
        <v>116</v>
      </c>
      <c r="E27" s="23">
        <v>0</v>
      </c>
      <c r="F27" s="11" t="s">
        <v>9</v>
      </c>
    </row>
    <row r="28" spans="1:6">
      <c r="A28" s="27" t="s">
        <v>84</v>
      </c>
      <c r="B28" s="27" t="s">
        <v>128</v>
      </c>
      <c r="C28" s="9">
        <v>45771</v>
      </c>
      <c r="D28" s="14" t="s">
        <v>116</v>
      </c>
      <c r="E28" s="23">
        <v>0</v>
      </c>
      <c r="F28" s="11" t="s">
        <v>9</v>
      </c>
    </row>
    <row r="29" spans="1:6">
      <c r="A29" s="27" t="s">
        <v>84</v>
      </c>
      <c r="B29" s="27" t="s">
        <v>129</v>
      </c>
      <c r="C29" s="9">
        <v>45779</v>
      </c>
      <c r="D29" s="14" t="s">
        <v>130</v>
      </c>
      <c r="E29" s="23">
        <v>0</v>
      </c>
      <c r="F29" s="11" t="s">
        <v>9</v>
      </c>
    </row>
    <row r="30" spans="1:6" s="3" customFormat="1">
      <c r="A30" s="39" t="s">
        <v>84</v>
      </c>
      <c r="B30" s="19" t="s">
        <v>85</v>
      </c>
      <c r="C30" s="20">
        <v>45779</v>
      </c>
      <c r="D30" s="18" t="s">
        <v>131</v>
      </c>
      <c r="E30" s="23">
        <v>0</v>
      </c>
      <c r="F30" s="11" t="s">
        <v>30</v>
      </c>
    </row>
    <row r="31" spans="1:6">
      <c r="A31" s="19" t="s">
        <v>84</v>
      </c>
      <c r="B31" s="19" t="s">
        <v>87</v>
      </c>
      <c r="C31" s="20">
        <v>45779</v>
      </c>
      <c r="D31" s="18" t="s">
        <v>132</v>
      </c>
      <c r="E31" s="23">
        <v>170000</v>
      </c>
      <c r="F31" s="11" t="s">
        <v>11</v>
      </c>
    </row>
    <row r="32" spans="1:6">
      <c r="A32" s="19" t="s">
        <v>84</v>
      </c>
      <c r="B32" s="19" t="s">
        <v>96</v>
      </c>
      <c r="C32" s="20">
        <v>45779</v>
      </c>
      <c r="D32" s="18" t="s">
        <v>133</v>
      </c>
      <c r="E32" s="23">
        <v>0</v>
      </c>
      <c r="F32" s="11" t="s">
        <v>32</v>
      </c>
    </row>
    <row r="33" spans="1:6">
      <c r="A33" s="27" t="s">
        <v>84</v>
      </c>
      <c r="B33" s="27" t="s">
        <v>123</v>
      </c>
      <c r="C33" s="9">
        <v>45777</v>
      </c>
      <c r="D33" s="14" t="s">
        <v>134</v>
      </c>
      <c r="E33" s="23">
        <v>0</v>
      </c>
      <c r="F33" s="11" t="s">
        <v>9</v>
      </c>
    </row>
    <row r="34" spans="1:6">
      <c r="A34" s="27" t="s">
        <v>84</v>
      </c>
      <c r="B34" s="27" t="s">
        <v>123</v>
      </c>
      <c r="C34" s="9">
        <v>45778</v>
      </c>
      <c r="D34" s="14" t="s">
        <v>135</v>
      </c>
      <c r="E34" s="23">
        <v>0</v>
      </c>
      <c r="F34" s="11" t="s">
        <v>9</v>
      </c>
    </row>
    <row r="35" spans="1:6">
      <c r="A35" s="27" t="s">
        <v>84</v>
      </c>
      <c r="B35" s="27" t="s">
        <v>136</v>
      </c>
      <c r="C35" s="9">
        <v>45782</v>
      </c>
      <c r="D35" s="14" t="s">
        <v>130</v>
      </c>
      <c r="E35" s="24">
        <v>0</v>
      </c>
      <c r="F35" s="11" t="s">
        <v>9</v>
      </c>
    </row>
    <row r="36" spans="1:6">
      <c r="A36" s="27" t="s">
        <v>84</v>
      </c>
      <c r="B36" s="27" t="s">
        <v>137</v>
      </c>
      <c r="C36" s="9">
        <v>45779</v>
      </c>
      <c r="D36" s="14" t="s">
        <v>130</v>
      </c>
      <c r="E36" s="24">
        <v>0</v>
      </c>
      <c r="F36" s="11" t="s">
        <v>9</v>
      </c>
    </row>
    <row r="37" spans="1:6">
      <c r="A37" s="27" t="s">
        <v>84</v>
      </c>
      <c r="B37" s="27" t="s">
        <v>138</v>
      </c>
      <c r="C37" s="9">
        <v>45779</v>
      </c>
      <c r="D37" s="14" t="s">
        <v>130</v>
      </c>
      <c r="E37" s="24">
        <v>0</v>
      </c>
      <c r="F37" s="11" t="s">
        <v>9</v>
      </c>
    </row>
    <row r="38" spans="1:6">
      <c r="A38" s="19" t="s">
        <v>84</v>
      </c>
      <c r="B38" s="19" t="s">
        <v>94</v>
      </c>
      <c r="C38" s="20">
        <v>45786</v>
      </c>
      <c r="D38" s="18" t="s">
        <v>139</v>
      </c>
      <c r="E38" s="23">
        <v>0</v>
      </c>
      <c r="F38" s="11" t="s">
        <v>140</v>
      </c>
    </row>
    <row r="39" spans="1:6">
      <c r="A39" s="27" t="s">
        <v>84</v>
      </c>
      <c r="B39" s="27" t="s">
        <v>87</v>
      </c>
      <c r="C39" s="9">
        <v>45786</v>
      </c>
      <c r="D39" s="14" t="s">
        <v>141</v>
      </c>
      <c r="E39" s="24">
        <v>170000</v>
      </c>
      <c r="F39" s="11" t="s">
        <v>11</v>
      </c>
    </row>
    <row r="40" spans="1:6">
      <c r="A40" s="27" t="s">
        <v>84</v>
      </c>
      <c r="B40" s="27" t="s">
        <v>87</v>
      </c>
      <c r="C40" s="9">
        <v>45787</v>
      </c>
      <c r="D40" s="14" t="s">
        <v>142</v>
      </c>
      <c r="E40" s="24">
        <v>170000</v>
      </c>
      <c r="F40" s="11" t="s">
        <v>11</v>
      </c>
    </row>
    <row r="41" spans="1:6">
      <c r="A41" s="27" t="s">
        <v>84</v>
      </c>
      <c r="B41" s="27" t="s">
        <v>138</v>
      </c>
      <c r="C41" s="9">
        <v>45789</v>
      </c>
      <c r="D41" s="14" t="s">
        <v>143</v>
      </c>
      <c r="E41" s="24">
        <v>0</v>
      </c>
      <c r="F41" s="11" t="s">
        <v>140</v>
      </c>
    </row>
    <row r="42" spans="1:6">
      <c r="A42" s="19" t="s">
        <v>84</v>
      </c>
      <c r="B42" s="19" t="s">
        <v>98</v>
      </c>
      <c r="C42" s="20">
        <v>45789</v>
      </c>
      <c r="D42" s="18" t="s">
        <v>144</v>
      </c>
      <c r="E42" s="23">
        <v>60000</v>
      </c>
      <c r="F42" s="11" t="s">
        <v>13</v>
      </c>
    </row>
    <row r="43" spans="1:6">
      <c r="A43" s="27" t="s">
        <v>84</v>
      </c>
      <c r="B43" s="27" t="s">
        <v>123</v>
      </c>
      <c r="C43" s="9">
        <v>45789</v>
      </c>
      <c r="D43" s="14" t="s">
        <v>145</v>
      </c>
      <c r="E43" s="23">
        <v>0</v>
      </c>
      <c r="F43" s="11" t="s">
        <v>9</v>
      </c>
    </row>
    <row r="44" spans="1:6">
      <c r="A44" s="27" t="s">
        <v>84</v>
      </c>
      <c r="B44" s="27" t="s">
        <v>87</v>
      </c>
      <c r="C44" s="9">
        <v>45789</v>
      </c>
      <c r="D44" s="14" t="s">
        <v>146</v>
      </c>
      <c r="E44" s="24">
        <v>170000</v>
      </c>
      <c r="F44" s="11" t="s">
        <v>11</v>
      </c>
    </row>
    <row r="45" spans="1:6">
      <c r="A45" s="27" t="s">
        <v>84</v>
      </c>
      <c r="B45" s="27" t="s">
        <v>112</v>
      </c>
      <c r="C45" s="9">
        <v>45789</v>
      </c>
      <c r="D45" s="14" t="s">
        <v>147</v>
      </c>
      <c r="E45" s="23">
        <v>0</v>
      </c>
      <c r="F45" s="11" t="s">
        <v>9</v>
      </c>
    </row>
    <row r="46" spans="1:6">
      <c r="A46" s="27" t="s">
        <v>84</v>
      </c>
      <c r="B46" s="27" t="s">
        <v>120</v>
      </c>
      <c r="C46" s="9">
        <v>45789</v>
      </c>
      <c r="D46" s="14" t="s">
        <v>148</v>
      </c>
      <c r="E46" s="23">
        <v>0</v>
      </c>
      <c r="F46" s="11" t="s">
        <v>11</v>
      </c>
    </row>
    <row r="47" spans="1:6">
      <c r="A47" s="27" t="s">
        <v>84</v>
      </c>
      <c r="B47" s="27" t="s">
        <v>117</v>
      </c>
      <c r="C47" s="9">
        <v>45789</v>
      </c>
      <c r="D47" s="14" t="s">
        <v>149</v>
      </c>
      <c r="E47" s="23">
        <v>0</v>
      </c>
      <c r="F47" s="11" t="s">
        <v>13</v>
      </c>
    </row>
    <row r="48" spans="1:6" ht="20.45">
      <c r="A48" s="19" t="s">
        <v>84</v>
      </c>
      <c r="B48" s="19" t="s">
        <v>108</v>
      </c>
      <c r="C48" s="20">
        <v>45789</v>
      </c>
      <c r="D48" s="18" t="s">
        <v>150</v>
      </c>
      <c r="E48" s="23">
        <v>0</v>
      </c>
      <c r="F48" s="11" t="s">
        <v>13</v>
      </c>
    </row>
    <row r="49" spans="1:6">
      <c r="A49" s="19" t="s">
        <v>84</v>
      </c>
      <c r="B49" s="19" t="s">
        <v>94</v>
      </c>
      <c r="C49" s="20">
        <v>45789</v>
      </c>
      <c r="D49" s="18" t="s">
        <v>151</v>
      </c>
      <c r="E49" s="23">
        <v>0</v>
      </c>
      <c r="F49" s="11" t="s">
        <v>11</v>
      </c>
    </row>
    <row r="50" spans="1:6">
      <c r="A50" s="27" t="s">
        <v>84</v>
      </c>
      <c r="B50" s="27" t="s">
        <v>126</v>
      </c>
      <c r="C50" s="9">
        <v>45789</v>
      </c>
      <c r="D50" s="14" t="s">
        <v>152</v>
      </c>
      <c r="E50" s="23">
        <v>0</v>
      </c>
      <c r="F50" s="11" t="s">
        <v>9</v>
      </c>
    </row>
    <row r="51" spans="1:6">
      <c r="A51" s="27" t="s">
        <v>84</v>
      </c>
      <c r="B51" s="27" t="s">
        <v>121</v>
      </c>
      <c r="C51" s="9">
        <v>45789</v>
      </c>
      <c r="D51" s="14" t="s">
        <v>153</v>
      </c>
      <c r="E51" s="23">
        <v>0</v>
      </c>
      <c r="F51" s="11" t="s">
        <v>9</v>
      </c>
    </row>
    <row r="52" spans="1:6">
      <c r="A52" s="19" t="s">
        <v>84</v>
      </c>
      <c r="B52" s="19" t="s">
        <v>89</v>
      </c>
      <c r="C52" s="20">
        <v>45789</v>
      </c>
      <c r="D52" s="18" t="s">
        <v>154</v>
      </c>
      <c r="E52" s="23">
        <v>0</v>
      </c>
      <c r="F52" s="11" t="s">
        <v>30</v>
      </c>
    </row>
    <row r="53" spans="1:6" ht="20.45">
      <c r="A53" s="19" t="s">
        <v>84</v>
      </c>
      <c r="B53" s="19" t="s">
        <v>104</v>
      </c>
      <c r="C53" s="20">
        <v>45806</v>
      </c>
      <c r="D53" s="18" t="s">
        <v>155</v>
      </c>
      <c r="E53" s="23">
        <v>0</v>
      </c>
      <c r="F53" s="11" t="s">
        <v>9</v>
      </c>
    </row>
    <row r="54" spans="1:6">
      <c r="A54" s="27" t="s">
        <v>84</v>
      </c>
      <c r="B54" s="27" t="s">
        <v>122</v>
      </c>
      <c r="C54" s="9">
        <v>45789</v>
      </c>
      <c r="D54" s="14" t="s">
        <v>156</v>
      </c>
      <c r="E54" s="23">
        <v>0</v>
      </c>
      <c r="F54" s="11" t="s">
        <v>11</v>
      </c>
    </row>
    <row r="55" spans="1:6">
      <c r="A55" s="27" t="s">
        <v>84</v>
      </c>
      <c r="B55" s="27" t="s">
        <v>136</v>
      </c>
      <c r="C55" s="9">
        <v>45789</v>
      </c>
      <c r="D55" s="14" t="s">
        <v>153</v>
      </c>
      <c r="E55" s="24">
        <v>0</v>
      </c>
      <c r="F55" s="11" t="s">
        <v>9</v>
      </c>
    </row>
    <row r="56" spans="1:6">
      <c r="A56" s="27" t="s">
        <v>84</v>
      </c>
      <c r="B56" s="27" t="s">
        <v>129</v>
      </c>
      <c r="C56" s="9">
        <v>45789</v>
      </c>
      <c r="D56" s="14" t="s">
        <v>157</v>
      </c>
      <c r="E56" s="23">
        <v>0</v>
      </c>
      <c r="F56" s="11" t="s">
        <v>9</v>
      </c>
    </row>
    <row r="57" spans="1:6">
      <c r="A57" s="27" t="s">
        <v>84</v>
      </c>
      <c r="B57" s="27" t="s">
        <v>124</v>
      </c>
      <c r="C57" s="9">
        <v>45789</v>
      </c>
      <c r="D57" s="14" t="s">
        <v>158</v>
      </c>
      <c r="E57" s="23">
        <v>0</v>
      </c>
      <c r="F57" s="11" t="s">
        <v>9</v>
      </c>
    </row>
    <row r="58" spans="1:6">
      <c r="A58" s="19" t="s">
        <v>84</v>
      </c>
      <c r="B58" s="19" t="s">
        <v>91</v>
      </c>
      <c r="C58" s="20">
        <v>45789</v>
      </c>
      <c r="D58" s="18" t="s">
        <v>159</v>
      </c>
      <c r="E58" s="23">
        <f>27520000/12</f>
        <v>2293333.3333333335</v>
      </c>
      <c r="F58" s="11" t="s">
        <v>27</v>
      </c>
    </row>
    <row r="59" spans="1:6">
      <c r="A59" s="27" t="s">
        <v>84</v>
      </c>
      <c r="B59" s="27" t="s">
        <v>127</v>
      </c>
      <c r="C59" s="9">
        <v>45789</v>
      </c>
      <c r="D59" s="14" t="s">
        <v>160</v>
      </c>
      <c r="E59" s="23">
        <v>0</v>
      </c>
      <c r="F59" s="11" t="s">
        <v>9</v>
      </c>
    </row>
    <row r="60" spans="1:6">
      <c r="A60" s="19" t="s">
        <v>84</v>
      </c>
      <c r="B60" s="19" t="s">
        <v>106</v>
      </c>
      <c r="C60" s="20">
        <v>45789</v>
      </c>
      <c r="D60" s="18" t="s">
        <v>161</v>
      </c>
      <c r="E60" s="23">
        <v>0</v>
      </c>
      <c r="F60" s="11" t="s">
        <v>9</v>
      </c>
    </row>
    <row r="61" spans="1:6">
      <c r="A61" s="27" t="s">
        <v>84</v>
      </c>
      <c r="B61" s="27" t="s">
        <v>128</v>
      </c>
      <c r="C61" s="9">
        <v>45789</v>
      </c>
      <c r="D61" s="14" t="s">
        <v>160</v>
      </c>
      <c r="E61" s="23">
        <v>0</v>
      </c>
      <c r="F61" s="11" t="s">
        <v>9</v>
      </c>
    </row>
    <row r="62" spans="1:6">
      <c r="A62" s="27" t="s">
        <v>84</v>
      </c>
      <c r="B62" s="27" t="s">
        <v>115</v>
      </c>
      <c r="C62" s="9">
        <v>45789</v>
      </c>
      <c r="D62" s="14" t="s">
        <v>160</v>
      </c>
      <c r="E62" s="23">
        <v>0</v>
      </c>
      <c r="F62" s="11" t="s">
        <v>9</v>
      </c>
    </row>
    <row r="63" spans="1:6">
      <c r="A63" s="19" t="s">
        <v>84</v>
      </c>
      <c r="B63" s="19" t="s">
        <v>102</v>
      </c>
      <c r="C63" s="20">
        <v>45789</v>
      </c>
      <c r="D63" s="18" t="s">
        <v>162</v>
      </c>
      <c r="E63" s="23">
        <v>0</v>
      </c>
      <c r="F63" s="11" t="s">
        <v>13</v>
      </c>
    </row>
    <row r="64" spans="1:6">
      <c r="A64" s="27" t="s">
        <v>84</v>
      </c>
      <c r="B64" s="27" t="s">
        <v>137</v>
      </c>
      <c r="C64" s="9">
        <v>45789</v>
      </c>
      <c r="D64" s="14" t="s">
        <v>163</v>
      </c>
      <c r="E64" s="24">
        <v>0</v>
      </c>
      <c r="F64" s="11" t="s">
        <v>9</v>
      </c>
    </row>
    <row r="65" spans="1:6">
      <c r="A65" s="27" t="s">
        <v>84</v>
      </c>
      <c r="B65" s="27" t="s">
        <v>110</v>
      </c>
      <c r="C65" s="9">
        <v>45789</v>
      </c>
      <c r="D65" s="14" t="s">
        <v>160</v>
      </c>
      <c r="E65" s="23">
        <v>0</v>
      </c>
      <c r="F65" s="11" t="s">
        <v>13</v>
      </c>
    </row>
    <row r="66" spans="1:6">
      <c r="A66" s="27" t="s">
        <v>84</v>
      </c>
      <c r="B66" s="27" t="s">
        <v>100</v>
      </c>
      <c r="C66" s="9">
        <v>45789</v>
      </c>
      <c r="D66" s="14" t="s">
        <v>164</v>
      </c>
      <c r="E66" s="24">
        <v>3960000</v>
      </c>
      <c r="F66" s="11" t="s">
        <v>11</v>
      </c>
    </row>
    <row r="67" spans="1:6">
      <c r="A67" s="27" t="s">
        <v>84</v>
      </c>
      <c r="B67" s="27" t="s">
        <v>165</v>
      </c>
      <c r="C67" s="9">
        <v>45789</v>
      </c>
      <c r="D67" s="14" t="s">
        <v>166</v>
      </c>
      <c r="E67" s="24">
        <v>0</v>
      </c>
      <c r="F67" s="11" t="s">
        <v>9</v>
      </c>
    </row>
    <row r="68" spans="1:6">
      <c r="A68" s="27" t="s">
        <v>84</v>
      </c>
      <c r="B68" s="27" t="s">
        <v>167</v>
      </c>
      <c r="C68" s="9">
        <v>45789</v>
      </c>
      <c r="D68" s="14" t="s">
        <v>168</v>
      </c>
      <c r="E68" s="24">
        <v>0</v>
      </c>
      <c r="F68" s="11" t="s">
        <v>9</v>
      </c>
    </row>
    <row r="69" spans="1:6">
      <c r="A69" s="27" t="s">
        <v>84</v>
      </c>
      <c r="B69" s="27" t="s">
        <v>169</v>
      </c>
      <c r="C69" s="9">
        <v>45789</v>
      </c>
      <c r="D69" s="14" t="s">
        <v>168</v>
      </c>
      <c r="E69" s="24">
        <v>0</v>
      </c>
      <c r="F69" s="11" t="s">
        <v>9</v>
      </c>
    </row>
    <row r="70" spans="1:6">
      <c r="A70" s="27" t="s">
        <v>84</v>
      </c>
      <c r="B70" s="27" t="s">
        <v>170</v>
      </c>
      <c r="C70" s="9">
        <v>45789</v>
      </c>
      <c r="D70" s="14" t="s">
        <v>168</v>
      </c>
      <c r="E70" s="24">
        <v>0</v>
      </c>
      <c r="F70" s="11" t="s">
        <v>9</v>
      </c>
    </row>
    <row r="71" spans="1:6">
      <c r="A71" s="27" t="s">
        <v>84</v>
      </c>
      <c r="B71" s="40" t="s">
        <v>85</v>
      </c>
      <c r="C71" s="41">
        <v>45795</v>
      </c>
      <c r="D71" s="33" t="s">
        <v>171</v>
      </c>
      <c r="E71" s="38"/>
      <c r="F71" s="11"/>
    </row>
    <row r="72" spans="1:6">
      <c r="A72" s="40" t="s">
        <v>84</v>
      </c>
      <c r="B72" s="40" t="s">
        <v>87</v>
      </c>
      <c r="C72" s="41">
        <v>45795</v>
      </c>
      <c r="D72" s="33" t="s">
        <v>172</v>
      </c>
      <c r="E72" s="38"/>
      <c r="F72" s="11"/>
    </row>
    <row r="73" spans="1:6">
      <c r="A73" s="27" t="s">
        <v>84</v>
      </c>
      <c r="B73" s="27" t="s">
        <v>136</v>
      </c>
      <c r="C73" s="41">
        <v>45795</v>
      </c>
      <c r="D73" s="14" t="s">
        <v>130</v>
      </c>
      <c r="E73" s="24"/>
      <c r="F73" s="11"/>
    </row>
    <row r="74" spans="1:6">
      <c r="A74" s="27" t="s">
        <v>84</v>
      </c>
      <c r="B74" s="27" t="s">
        <v>138</v>
      </c>
      <c r="C74" s="41">
        <v>45795</v>
      </c>
      <c r="D74" s="14" t="s">
        <v>173</v>
      </c>
      <c r="E74" s="24"/>
      <c r="F74" s="11"/>
    </row>
    <row r="75" spans="1:6">
      <c r="A75" s="27" t="s">
        <v>84</v>
      </c>
      <c r="B75" s="27" t="s">
        <v>123</v>
      </c>
      <c r="C75" s="41">
        <v>45795</v>
      </c>
      <c r="D75" s="14" t="s">
        <v>145</v>
      </c>
      <c r="E75" s="38"/>
      <c r="F75" s="11"/>
    </row>
    <row r="76" spans="1:6">
      <c r="A76" s="27" t="s">
        <v>84</v>
      </c>
      <c r="B76" s="27" t="s">
        <v>112</v>
      </c>
      <c r="C76" s="41">
        <v>45795</v>
      </c>
      <c r="D76" s="14" t="s">
        <v>147</v>
      </c>
      <c r="E76" s="38"/>
      <c r="F76" s="11"/>
    </row>
    <row r="77" spans="1:6">
      <c r="A77" s="27" t="s">
        <v>84</v>
      </c>
      <c r="B77" s="27" t="s">
        <v>120</v>
      </c>
      <c r="C77" s="41">
        <v>45795</v>
      </c>
      <c r="D77" s="14" t="s">
        <v>148</v>
      </c>
      <c r="E77" s="38"/>
      <c r="F77" s="11"/>
    </row>
    <row r="78" spans="1:6">
      <c r="A78" s="27" t="s">
        <v>84</v>
      </c>
      <c r="B78" s="27" t="s">
        <v>117</v>
      </c>
      <c r="C78" s="41">
        <v>45795</v>
      </c>
      <c r="D78" s="14" t="s">
        <v>149</v>
      </c>
      <c r="E78" s="38"/>
      <c r="F78" s="11"/>
    </row>
    <row r="79" spans="1:6" ht="16.5" customHeight="1">
      <c r="A79" s="40" t="s">
        <v>84</v>
      </c>
      <c r="B79" s="40" t="s">
        <v>174</v>
      </c>
      <c r="C79" s="41">
        <v>45795</v>
      </c>
      <c r="D79" s="33" t="s">
        <v>150</v>
      </c>
      <c r="E79" s="38"/>
      <c r="F79" s="11"/>
    </row>
    <row r="80" spans="1:6">
      <c r="A80" s="40" t="s">
        <v>84</v>
      </c>
      <c r="B80" s="40" t="s">
        <v>94</v>
      </c>
      <c r="C80" s="41">
        <v>45795</v>
      </c>
      <c r="D80" s="33" t="s">
        <v>151</v>
      </c>
      <c r="E80" s="38"/>
      <c r="F80" s="11"/>
    </row>
    <row r="81" spans="1:6">
      <c r="A81" s="27" t="s">
        <v>84</v>
      </c>
      <c r="B81" s="27" t="s">
        <v>126</v>
      </c>
      <c r="C81" s="41">
        <v>45795</v>
      </c>
      <c r="D81" s="14" t="s">
        <v>130</v>
      </c>
      <c r="E81" s="38"/>
      <c r="F81" s="11"/>
    </row>
    <row r="82" spans="1:6">
      <c r="A82" s="27" t="s">
        <v>84</v>
      </c>
      <c r="B82" s="27" t="s">
        <v>121</v>
      </c>
      <c r="C82" s="41">
        <v>45795</v>
      </c>
      <c r="D82" s="14" t="s">
        <v>175</v>
      </c>
      <c r="E82" s="38"/>
      <c r="F82" s="11"/>
    </row>
    <row r="83" spans="1:6">
      <c r="A83" s="40" t="s">
        <v>84</v>
      </c>
      <c r="B83" s="40" t="s">
        <v>89</v>
      </c>
      <c r="C83" s="41">
        <v>45795</v>
      </c>
      <c r="D83" s="33" t="s">
        <v>176</v>
      </c>
      <c r="E83" s="38"/>
      <c r="F83" s="11"/>
    </row>
    <row r="84" spans="1:6" ht="20.45">
      <c r="A84" s="40" t="s">
        <v>84</v>
      </c>
      <c r="B84" s="40" t="s">
        <v>104</v>
      </c>
      <c r="C84" s="41">
        <v>45795</v>
      </c>
      <c r="D84" s="33" t="s">
        <v>177</v>
      </c>
      <c r="E84" s="38"/>
      <c r="F84" s="11"/>
    </row>
    <row r="85" spans="1:6">
      <c r="A85" s="27" t="s">
        <v>84</v>
      </c>
      <c r="B85" s="27" t="s">
        <v>122</v>
      </c>
      <c r="C85" s="41">
        <v>45795</v>
      </c>
      <c r="D85" s="14" t="s">
        <v>178</v>
      </c>
      <c r="E85" s="38"/>
      <c r="F85" s="11"/>
    </row>
    <row r="86" spans="1:6">
      <c r="A86" s="27" t="s">
        <v>84</v>
      </c>
      <c r="B86" s="27" t="s">
        <v>136</v>
      </c>
      <c r="C86" s="41">
        <v>45795</v>
      </c>
      <c r="D86" s="14" t="s">
        <v>153</v>
      </c>
      <c r="E86" s="24"/>
      <c r="F86" s="11"/>
    </row>
    <row r="87" spans="1:6">
      <c r="A87" s="27" t="s">
        <v>84</v>
      </c>
      <c r="B87" s="27" t="s">
        <v>129</v>
      </c>
      <c r="C87" s="41">
        <v>45795</v>
      </c>
      <c r="D87" s="14" t="s">
        <v>157</v>
      </c>
      <c r="E87" s="38"/>
      <c r="F87" s="11"/>
    </row>
    <row r="88" spans="1:6">
      <c r="A88" s="27" t="s">
        <v>84</v>
      </c>
      <c r="B88" s="27" t="s">
        <v>124</v>
      </c>
      <c r="C88" s="41">
        <v>45795</v>
      </c>
      <c r="D88" s="14" t="s">
        <v>179</v>
      </c>
      <c r="E88" s="38"/>
      <c r="F88" s="11"/>
    </row>
    <row r="89" spans="1:6">
      <c r="A89" s="40" t="s">
        <v>84</v>
      </c>
      <c r="B89" s="40" t="s">
        <v>91</v>
      </c>
      <c r="C89" s="41">
        <v>45795</v>
      </c>
      <c r="D89" s="33" t="s">
        <v>180</v>
      </c>
      <c r="E89" s="38"/>
      <c r="F89" s="11"/>
    </row>
    <row r="90" spans="1:6">
      <c r="A90" s="27" t="s">
        <v>84</v>
      </c>
      <c r="B90" s="27" t="s">
        <v>127</v>
      </c>
      <c r="C90" s="41">
        <v>45795</v>
      </c>
      <c r="D90" s="14" t="s">
        <v>160</v>
      </c>
      <c r="E90" s="38"/>
      <c r="F90" s="11"/>
    </row>
    <row r="91" spans="1:6">
      <c r="A91" s="40" t="s">
        <v>84</v>
      </c>
      <c r="B91" s="40" t="s">
        <v>181</v>
      </c>
      <c r="C91" s="41">
        <v>45795</v>
      </c>
      <c r="D91" s="33" t="s">
        <v>182</v>
      </c>
      <c r="E91" s="38"/>
      <c r="F91" s="11"/>
    </row>
    <row r="92" spans="1:6">
      <c r="A92" s="27" t="s">
        <v>84</v>
      </c>
      <c r="B92" s="27" t="s">
        <v>128</v>
      </c>
      <c r="C92" s="41">
        <v>45795</v>
      </c>
      <c r="D92" s="14" t="s">
        <v>160</v>
      </c>
      <c r="E92" s="38"/>
      <c r="F92" s="11"/>
    </row>
    <row r="93" spans="1:6">
      <c r="A93" s="27" t="s">
        <v>84</v>
      </c>
      <c r="B93" s="27" t="s">
        <v>115</v>
      </c>
      <c r="C93" s="41">
        <v>45795</v>
      </c>
      <c r="D93" s="14" t="s">
        <v>160</v>
      </c>
      <c r="E93" s="38"/>
      <c r="F93" s="11"/>
    </row>
    <row r="94" spans="1:6">
      <c r="A94" s="40" t="s">
        <v>84</v>
      </c>
      <c r="B94" s="40" t="s">
        <v>102</v>
      </c>
      <c r="C94" s="41">
        <v>45795</v>
      </c>
      <c r="D94" s="33" t="s">
        <v>162</v>
      </c>
      <c r="E94" s="38"/>
      <c r="F94" s="11"/>
    </row>
    <row r="95" spans="1:6">
      <c r="A95" s="27" t="s">
        <v>84</v>
      </c>
      <c r="B95" s="27" t="s">
        <v>183</v>
      </c>
      <c r="C95" s="41">
        <v>45795</v>
      </c>
      <c r="D95" s="14" t="s">
        <v>184</v>
      </c>
      <c r="E95" s="38"/>
      <c r="F95" s="11"/>
    </row>
    <row r="96" spans="1:6">
      <c r="A96" s="27" t="s">
        <v>84</v>
      </c>
      <c r="B96" s="27" t="s">
        <v>100</v>
      </c>
      <c r="C96" s="41">
        <v>45795</v>
      </c>
      <c r="D96" s="14" t="s">
        <v>164</v>
      </c>
      <c r="E96" s="24"/>
      <c r="F96" s="11"/>
    </row>
    <row r="97" spans="1:6">
      <c r="A97" s="27" t="s">
        <v>84</v>
      </c>
      <c r="B97" s="27" t="s">
        <v>165</v>
      </c>
      <c r="C97" s="41">
        <v>45795</v>
      </c>
      <c r="D97" s="14" t="s">
        <v>166</v>
      </c>
      <c r="E97" s="24"/>
      <c r="F97" s="11"/>
    </row>
    <row r="98" spans="1:6">
      <c r="A98" s="27" t="s">
        <v>84</v>
      </c>
      <c r="B98" s="27" t="s">
        <v>167</v>
      </c>
      <c r="C98" s="41">
        <v>45795</v>
      </c>
      <c r="D98" s="14" t="s">
        <v>168</v>
      </c>
      <c r="E98" s="24"/>
      <c r="F98" s="11"/>
    </row>
    <row r="99" spans="1:6">
      <c r="A99" s="27" t="s">
        <v>84</v>
      </c>
      <c r="B99" s="27" t="s">
        <v>169</v>
      </c>
      <c r="C99" s="41">
        <v>45795</v>
      </c>
      <c r="D99" s="14" t="s">
        <v>168</v>
      </c>
      <c r="E99" s="24"/>
      <c r="F99" s="11"/>
    </row>
    <row r="100" spans="1:6">
      <c r="A100" s="27" t="s">
        <v>84</v>
      </c>
      <c r="B100" s="27" t="s">
        <v>170</v>
      </c>
      <c r="C100" s="41">
        <v>45795</v>
      </c>
      <c r="D100" s="14" t="s">
        <v>168</v>
      </c>
      <c r="E100" s="24"/>
      <c r="F100" s="11"/>
    </row>
    <row r="101" spans="1:6">
      <c r="A101" s="27"/>
      <c r="B101" s="27"/>
      <c r="C101" s="9"/>
      <c r="D101" s="14"/>
      <c r="E101" s="24"/>
      <c r="F101" s="11"/>
    </row>
    <row r="102" spans="1:6">
      <c r="A102" s="27"/>
      <c r="B102" s="27"/>
      <c r="C102" s="9"/>
      <c r="D102" s="14"/>
      <c r="E102" s="24"/>
      <c r="F102" s="11"/>
    </row>
    <row r="103" spans="1:6">
      <c r="A103" s="27"/>
      <c r="B103" s="27"/>
      <c r="C103" s="9"/>
      <c r="D103" s="14"/>
      <c r="E103" s="24"/>
      <c r="F103" s="11"/>
    </row>
    <row r="104" spans="1:6">
      <c r="A104" s="27"/>
      <c r="B104" s="27"/>
      <c r="C104" s="9"/>
      <c r="D104" s="14"/>
      <c r="E104" s="24"/>
      <c r="F104" s="11"/>
    </row>
    <row r="105" spans="1:6">
      <c r="A105" s="27"/>
      <c r="B105" s="27"/>
      <c r="C105" s="9"/>
      <c r="D105" s="14"/>
      <c r="E105" s="24"/>
      <c r="F105" s="11"/>
    </row>
    <row r="106" spans="1:6">
      <c r="A106" s="27"/>
      <c r="B106" s="27"/>
      <c r="C106" s="9"/>
      <c r="D106" s="14"/>
      <c r="E106" s="24"/>
      <c r="F106" s="11"/>
    </row>
    <row r="107" spans="1:6">
      <c r="A107" s="27"/>
      <c r="B107" s="27"/>
      <c r="C107" s="9"/>
      <c r="D107" s="14"/>
      <c r="E107" s="24"/>
      <c r="F107" s="11"/>
    </row>
    <row r="108" spans="1:6">
      <c r="A108" s="27"/>
      <c r="B108" s="27"/>
      <c r="C108" s="9"/>
      <c r="D108" s="14"/>
      <c r="E108" s="24"/>
      <c r="F108" s="11"/>
    </row>
    <row r="109" spans="1:6">
      <c r="A109" s="27"/>
      <c r="B109" s="27"/>
      <c r="C109" s="9"/>
      <c r="D109" s="14"/>
      <c r="E109" s="24"/>
      <c r="F109" s="11"/>
    </row>
    <row r="110" spans="1:6">
      <c r="A110" s="27"/>
      <c r="B110" s="27"/>
      <c r="C110" s="9"/>
      <c r="D110" s="14"/>
      <c r="E110" s="24"/>
      <c r="F110" s="11"/>
    </row>
    <row r="111" spans="1:6">
      <c r="A111" s="27"/>
      <c r="B111" s="27"/>
      <c r="C111" s="9"/>
      <c r="D111" s="14"/>
      <c r="E111" s="24"/>
      <c r="F111" s="11"/>
    </row>
    <row r="112" spans="1:6">
      <c r="A112" s="27"/>
      <c r="B112" s="27"/>
      <c r="C112" s="9"/>
      <c r="D112" s="14"/>
      <c r="E112" s="24"/>
      <c r="F112" s="11"/>
    </row>
    <row r="113" spans="1:6">
      <c r="A113" s="27"/>
      <c r="B113" s="27"/>
      <c r="C113" s="9"/>
      <c r="D113" s="14"/>
      <c r="E113" s="24"/>
      <c r="F113" s="11"/>
    </row>
    <row r="114" spans="1:6">
      <c r="A114" s="27"/>
      <c r="B114" s="27"/>
      <c r="C114" s="9"/>
      <c r="D114" s="14"/>
      <c r="E114" s="24"/>
      <c r="F114" s="11"/>
    </row>
    <row r="115" spans="1:6">
      <c r="A115" s="27"/>
      <c r="B115" s="27"/>
      <c r="C115" s="9"/>
      <c r="D115" s="14"/>
      <c r="E115" s="24"/>
      <c r="F115" s="11"/>
    </row>
    <row r="116" spans="1:6">
      <c r="A116" s="27"/>
      <c r="B116" s="27"/>
      <c r="C116" s="9"/>
      <c r="D116" s="14"/>
      <c r="E116" s="24"/>
      <c r="F116" s="11"/>
    </row>
    <row r="117" spans="1:6">
      <c r="A117" s="27"/>
      <c r="B117" s="27"/>
      <c r="C117" s="9"/>
      <c r="D117" s="14"/>
      <c r="E117" s="24"/>
      <c r="F117" s="11"/>
    </row>
    <row r="118" spans="1:6">
      <c r="A118" s="27"/>
      <c r="B118" s="27"/>
      <c r="C118" s="9"/>
      <c r="D118" s="14"/>
      <c r="E118" s="24"/>
      <c r="F118" s="11"/>
    </row>
    <row r="119" spans="1:6">
      <c r="A119" s="27"/>
      <c r="B119" s="27"/>
      <c r="C119" s="9"/>
      <c r="D119" s="14"/>
      <c r="E119" s="24"/>
      <c r="F119" s="11"/>
    </row>
    <row r="120" spans="1:6">
      <c r="A120" s="27"/>
      <c r="B120" s="27"/>
      <c r="C120" s="9"/>
      <c r="D120" s="14"/>
      <c r="E120" s="24"/>
      <c r="F120" s="11"/>
    </row>
    <row r="121" spans="1:6">
      <c r="A121" s="27"/>
      <c r="B121" s="27"/>
      <c r="C121" s="9"/>
      <c r="D121" s="14"/>
      <c r="E121" s="24"/>
      <c r="F121" s="11"/>
    </row>
    <row r="122" spans="1:6">
      <c r="A122" s="27"/>
      <c r="B122" s="27"/>
      <c r="C122" s="9"/>
      <c r="D122" s="14"/>
      <c r="E122" s="24"/>
      <c r="F122" s="11"/>
    </row>
    <row r="123" spans="1:6">
      <c r="A123" s="27"/>
      <c r="B123" s="27"/>
      <c r="C123" s="9"/>
      <c r="D123" s="14"/>
      <c r="E123" s="24"/>
      <c r="F123" s="11"/>
    </row>
    <row r="124" spans="1:6">
      <c r="A124" s="27"/>
      <c r="B124" s="27"/>
      <c r="C124" s="9"/>
      <c r="D124" s="14"/>
      <c r="E124" s="24"/>
      <c r="F124" s="11"/>
    </row>
    <row r="125" spans="1:6">
      <c r="A125" s="27"/>
      <c r="B125" s="27"/>
      <c r="C125" s="9"/>
      <c r="D125" s="14"/>
      <c r="E125" s="24"/>
      <c r="F125" s="11"/>
    </row>
    <row r="126" spans="1:6">
      <c r="A126" s="27"/>
      <c r="B126" s="27"/>
      <c r="C126" s="9"/>
      <c r="D126" s="14"/>
      <c r="E126" s="24"/>
      <c r="F126" s="11"/>
    </row>
    <row r="127" spans="1:6">
      <c r="A127" s="27"/>
      <c r="B127" s="27"/>
      <c r="C127" s="9"/>
      <c r="D127" s="14"/>
      <c r="E127" s="24"/>
      <c r="F127" s="11"/>
    </row>
    <row r="128" spans="1:6">
      <c r="A128" s="27"/>
      <c r="B128" s="27"/>
      <c r="C128" s="9"/>
      <c r="D128" s="14"/>
      <c r="E128" s="24"/>
      <c r="F128" s="11"/>
    </row>
    <row r="129" spans="1:6">
      <c r="A129" s="27"/>
      <c r="B129" s="27"/>
      <c r="C129" s="9"/>
      <c r="D129" s="14"/>
      <c r="E129" s="24"/>
      <c r="F129" s="11"/>
    </row>
    <row r="130" spans="1:6">
      <c r="A130" s="27"/>
      <c r="B130" s="27"/>
      <c r="C130" s="9"/>
      <c r="D130" s="14"/>
      <c r="E130" s="24"/>
      <c r="F130" s="11"/>
    </row>
    <row r="131" spans="1:6">
      <c r="A131" s="27"/>
      <c r="B131" s="27"/>
      <c r="C131" s="9"/>
      <c r="D131" s="14"/>
      <c r="E131" s="24"/>
      <c r="F131" s="11"/>
    </row>
    <row r="132" spans="1:6">
      <c r="A132" s="27"/>
      <c r="B132" s="27"/>
      <c r="C132" s="9"/>
      <c r="D132" s="14"/>
      <c r="E132" s="24"/>
      <c r="F132" s="11"/>
    </row>
    <row r="133" spans="1:6">
      <c r="A133" s="27"/>
      <c r="B133" s="27"/>
      <c r="C133" s="9"/>
      <c r="D133" s="14"/>
      <c r="E133" s="24"/>
      <c r="F133" s="11"/>
    </row>
    <row r="134" spans="1:6">
      <c r="A134" s="27"/>
      <c r="B134" s="27"/>
      <c r="C134" s="9"/>
      <c r="D134" s="14"/>
      <c r="E134" s="24"/>
      <c r="F134" s="11"/>
    </row>
    <row r="135" spans="1:6">
      <c r="A135" s="27"/>
      <c r="B135" s="27"/>
      <c r="C135" s="9"/>
      <c r="D135" s="14"/>
      <c r="E135" s="24"/>
      <c r="F135" s="11"/>
    </row>
    <row r="136" spans="1:6">
      <c r="A136" s="27"/>
      <c r="B136" s="27"/>
      <c r="C136" s="9"/>
      <c r="D136" s="14"/>
      <c r="E136" s="24"/>
      <c r="F136" s="11"/>
    </row>
    <row r="137" spans="1:6">
      <c r="A137" s="27"/>
      <c r="B137" s="27"/>
      <c r="C137" s="9"/>
      <c r="D137" s="14"/>
      <c r="E137" s="24"/>
      <c r="F137" s="11"/>
    </row>
    <row r="138" spans="1:6">
      <c r="A138" s="27"/>
      <c r="B138" s="27"/>
      <c r="C138" s="9"/>
      <c r="D138" s="14"/>
      <c r="E138" s="24"/>
      <c r="F138" s="11"/>
    </row>
    <row r="139" spans="1:6">
      <c r="A139" s="27"/>
      <c r="B139" s="27"/>
      <c r="C139" s="9"/>
      <c r="D139" s="14"/>
      <c r="E139" s="24"/>
      <c r="F139" s="11"/>
    </row>
    <row r="140" spans="1:6">
      <c r="A140" s="27"/>
      <c r="B140" s="27"/>
      <c r="C140" s="9"/>
      <c r="D140" s="14"/>
      <c r="E140" s="24"/>
      <c r="F140" s="11"/>
    </row>
    <row r="141" spans="1:6">
      <c r="A141" s="27"/>
      <c r="B141" s="27"/>
      <c r="C141" s="9"/>
      <c r="D141" s="14"/>
      <c r="E141" s="24"/>
      <c r="F141" s="11"/>
    </row>
    <row r="142" spans="1:6">
      <c r="A142" s="27"/>
      <c r="B142" s="27"/>
      <c r="C142" s="9"/>
      <c r="D142" s="14"/>
      <c r="E142" s="24"/>
      <c r="F142" s="11"/>
    </row>
    <row r="143" spans="1:6">
      <c r="A143" s="27"/>
      <c r="B143" s="27"/>
      <c r="C143" s="9"/>
      <c r="D143" s="14"/>
      <c r="E143" s="24"/>
      <c r="F143" s="11"/>
    </row>
    <row r="144" spans="1:6">
      <c r="A144" s="27"/>
      <c r="B144" s="27"/>
      <c r="C144" s="9"/>
      <c r="D144" s="14"/>
      <c r="E144" s="24"/>
      <c r="F144" s="11"/>
    </row>
    <row r="145" spans="1:6">
      <c r="A145" s="27"/>
      <c r="B145" s="27"/>
      <c r="C145" s="9"/>
      <c r="D145" s="14"/>
      <c r="E145" s="24"/>
      <c r="F145" s="11"/>
    </row>
    <row r="146" spans="1:6">
      <c r="A146" s="27"/>
      <c r="B146" s="27"/>
      <c r="C146" s="9"/>
      <c r="D146" s="14"/>
      <c r="E146" s="24"/>
      <c r="F146" s="11"/>
    </row>
    <row r="147" spans="1:6">
      <c r="A147" s="27"/>
      <c r="B147" s="27"/>
      <c r="C147" s="9"/>
      <c r="D147" s="14"/>
      <c r="E147" s="24"/>
      <c r="F147" s="11"/>
    </row>
    <row r="148" spans="1:6">
      <c r="A148" s="27"/>
      <c r="B148" s="27"/>
      <c r="C148" s="9"/>
      <c r="D148" s="14"/>
      <c r="E148" s="24"/>
      <c r="F148" s="11"/>
    </row>
    <row r="149" spans="1:6">
      <c r="A149" s="27"/>
      <c r="B149" s="27"/>
      <c r="C149" s="9"/>
      <c r="D149" s="14"/>
      <c r="E149" s="24"/>
      <c r="F149" s="11"/>
    </row>
    <row r="150" spans="1:6">
      <c r="A150" s="27"/>
      <c r="B150" s="27"/>
      <c r="C150" s="9"/>
      <c r="D150" s="14"/>
      <c r="E150" s="24"/>
      <c r="F150" s="11"/>
    </row>
    <row r="151" spans="1:6">
      <c r="A151" s="27"/>
      <c r="B151" s="27"/>
      <c r="C151" s="9"/>
      <c r="D151" s="14"/>
      <c r="E151" s="24"/>
      <c r="F151" s="11"/>
    </row>
    <row r="152" spans="1:6">
      <c r="A152" s="27"/>
      <c r="B152" s="27"/>
      <c r="C152" s="9"/>
      <c r="D152" s="14"/>
      <c r="E152" s="24"/>
      <c r="F152" s="11"/>
    </row>
    <row r="153" spans="1:6">
      <c r="A153" s="27"/>
      <c r="B153" s="27"/>
      <c r="C153" s="9"/>
      <c r="D153" s="14"/>
      <c r="E153" s="24"/>
      <c r="F153" s="11"/>
    </row>
    <row r="154" spans="1:6">
      <c r="A154" s="27"/>
      <c r="B154" s="27"/>
      <c r="C154" s="9"/>
      <c r="D154" s="14"/>
      <c r="E154" s="24"/>
      <c r="F154" s="11"/>
    </row>
    <row r="155" spans="1:6">
      <c r="A155" s="27"/>
      <c r="B155" s="27"/>
      <c r="C155" s="9"/>
      <c r="D155" s="14"/>
      <c r="E155" s="24"/>
      <c r="F155" s="11"/>
    </row>
    <row r="156" spans="1:6">
      <c r="A156" s="27"/>
      <c r="B156" s="27"/>
      <c r="C156" s="9"/>
      <c r="D156" s="14"/>
      <c r="E156" s="24"/>
      <c r="F156" s="11"/>
    </row>
    <row r="157" spans="1:6">
      <c r="A157" s="27"/>
      <c r="B157" s="27"/>
      <c r="C157" s="9"/>
      <c r="D157" s="14"/>
      <c r="E157" s="24"/>
      <c r="F157" s="11"/>
    </row>
    <row r="158" spans="1:6">
      <c r="A158" s="27"/>
      <c r="B158" s="27"/>
      <c r="C158" s="9"/>
      <c r="D158" s="14"/>
      <c r="E158" s="24"/>
      <c r="F158" s="11"/>
    </row>
    <row r="159" spans="1:6">
      <c r="A159" s="27"/>
      <c r="B159" s="27"/>
      <c r="C159" s="9"/>
      <c r="D159" s="14"/>
      <c r="E159" s="24"/>
      <c r="F159" s="11"/>
    </row>
    <row r="160" spans="1:6">
      <c r="A160" s="27"/>
      <c r="B160" s="27"/>
      <c r="C160" s="9"/>
      <c r="D160" s="14"/>
      <c r="E160" s="24"/>
      <c r="F160" s="11"/>
    </row>
    <row r="161" spans="1:6">
      <c r="A161" s="27"/>
      <c r="B161" s="27"/>
      <c r="C161" s="9"/>
      <c r="D161" s="14"/>
      <c r="E161" s="24"/>
      <c r="F161" s="11"/>
    </row>
    <row r="162" spans="1:6">
      <c r="A162" s="27"/>
      <c r="B162" s="27"/>
      <c r="C162" s="9"/>
      <c r="D162" s="14"/>
      <c r="E162" s="24"/>
      <c r="F162" s="11"/>
    </row>
    <row r="163" spans="1:6">
      <c r="A163" s="27"/>
      <c r="B163" s="27"/>
      <c r="C163" s="9"/>
      <c r="D163" s="14"/>
      <c r="E163" s="24"/>
      <c r="F163" s="11"/>
    </row>
    <row r="164" spans="1:6">
      <c r="A164" s="27"/>
      <c r="B164" s="27"/>
      <c r="C164" s="9"/>
      <c r="D164" s="14"/>
      <c r="E164" s="24"/>
      <c r="F164" s="11"/>
    </row>
    <row r="165" spans="1:6">
      <c r="A165" s="27"/>
      <c r="B165" s="27"/>
      <c r="C165" s="9"/>
      <c r="D165" s="14"/>
      <c r="E165" s="24"/>
      <c r="F165" s="11"/>
    </row>
    <row r="166" spans="1:6">
      <c r="A166" s="27"/>
      <c r="B166" s="27"/>
      <c r="C166" s="9"/>
      <c r="D166" s="14"/>
      <c r="E166" s="24"/>
      <c r="F166" s="11"/>
    </row>
    <row r="167" spans="1:6">
      <c r="A167" s="27"/>
      <c r="B167" s="27"/>
      <c r="C167" s="9"/>
      <c r="D167" s="14"/>
      <c r="E167" s="24"/>
      <c r="F167" s="11"/>
    </row>
    <row r="168" spans="1:6">
      <c r="A168" s="27"/>
      <c r="B168" s="27"/>
      <c r="C168" s="9"/>
      <c r="D168" s="14"/>
      <c r="E168" s="24"/>
      <c r="F168" s="11"/>
    </row>
    <row r="169" spans="1:6">
      <c r="A169" s="27"/>
      <c r="B169" s="27"/>
      <c r="C169" s="9"/>
      <c r="D169" s="14"/>
      <c r="E169" s="24"/>
      <c r="F169" s="11"/>
    </row>
    <row r="170" spans="1:6">
      <c r="A170" s="27"/>
      <c r="B170" s="27"/>
      <c r="C170" s="9"/>
      <c r="D170" s="14"/>
      <c r="E170" s="24"/>
      <c r="F170" s="11"/>
    </row>
    <row r="171" spans="1:6">
      <c r="A171" s="27"/>
      <c r="B171" s="27"/>
      <c r="C171" s="9"/>
      <c r="D171" s="14"/>
      <c r="E171" s="24"/>
      <c r="F171" s="11"/>
    </row>
    <row r="172" spans="1:6">
      <c r="A172" s="27"/>
      <c r="B172" s="27"/>
      <c r="C172" s="9"/>
      <c r="D172" s="14"/>
      <c r="E172" s="24"/>
      <c r="F172" s="11"/>
    </row>
    <row r="173" spans="1:6">
      <c r="A173" s="27"/>
      <c r="B173" s="27"/>
      <c r="C173" s="9"/>
      <c r="D173" s="14"/>
      <c r="E173" s="24"/>
      <c r="F173" s="11"/>
    </row>
    <row r="174" spans="1:6">
      <c r="A174" s="27"/>
      <c r="B174" s="27"/>
      <c r="C174" s="9"/>
      <c r="D174" s="14"/>
      <c r="E174" s="24"/>
      <c r="F174" s="11"/>
    </row>
    <row r="175" spans="1:6">
      <c r="A175" s="27"/>
      <c r="B175" s="27"/>
      <c r="C175" s="9"/>
      <c r="D175" s="14"/>
      <c r="E175" s="24"/>
      <c r="F175" s="11"/>
    </row>
    <row r="176" spans="1:6">
      <c r="A176" s="27"/>
      <c r="B176" s="27"/>
      <c r="C176" s="9"/>
      <c r="D176" s="14"/>
      <c r="E176" s="24"/>
      <c r="F176" s="11"/>
    </row>
    <row r="177" spans="1:6">
      <c r="A177" s="27"/>
      <c r="B177" s="27"/>
      <c r="C177" s="9"/>
      <c r="D177" s="14"/>
      <c r="E177" s="24"/>
      <c r="F177" s="11"/>
    </row>
    <row r="178" spans="1:6">
      <c r="A178" s="27"/>
      <c r="B178" s="27"/>
      <c r="C178" s="9"/>
      <c r="D178" s="14"/>
      <c r="E178" s="24"/>
      <c r="F178" s="11"/>
    </row>
    <row r="179" spans="1:6">
      <c r="A179" s="27"/>
      <c r="B179" s="27"/>
      <c r="C179" s="9"/>
      <c r="D179" s="14"/>
      <c r="E179" s="24"/>
      <c r="F179" s="11"/>
    </row>
    <row r="180" spans="1:6">
      <c r="A180" s="27"/>
      <c r="B180" s="27"/>
      <c r="C180" s="9"/>
      <c r="D180" s="14"/>
      <c r="E180" s="24"/>
      <c r="F180" s="11"/>
    </row>
    <row r="181" spans="1:6">
      <c r="A181" s="27"/>
      <c r="B181" s="27"/>
      <c r="C181" s="9"/>
      <c r="D181" s="14"/>
      <c r="E181" s="24"/>
      <c r="F181" s="11"/>
    </row>
    <row r="182" spans="1:6">
      <c r="A182" s="27"/>
      <c r="B182" s="27"/>
      <c r="C182" s="9"/>
      <c r="D182" s="14"/>
      <c r="E182" s="24"/>
      <c r="F182" s="11"/>
    </row>
    <row r="183" spans="1:6">
      <c r="A183" s="27"/>
      <c r="B183" s="27"/>
      <c r="C183" s="9"/>
      <c r="D183" s="14"/>
      <c r="E183" s="24"/>
      <c r="F183" s="11"/>
    </row>
    <row r="184" spans="1:6">
      <c r="A184" s="27"/>
      <c r="B184" s="27"/>
      <c r="C184" s="9"/>
      <c r="D184" s="14"/>
      <c r="E184" s="24"/>
      <c r="F184" s="11"/>
    </row>
    <row r="185" spans="1:6">
      <c r="A185" s="27"/>
      <c r="B185" s="27"/>
      <c r="C185" s="9"/>
      <c r="D185" s="14"/>
      <c r="E185" s="24"/>
      <c r="F185" s="11"/>
    </row>
    <row r="186" spans="1:6">
      <c r="A186" s="27"/>
      <c r="B186" s="27"/>
      <c r="C186" s="9"/>
      <c r="D186" s="14"/>
      <c r="E186" s="24"/>
      <c r="F186" s="11"/>
    </row>
    <row r="187" spans="1:6">
      <c r="A187" s="27"/>
      <c r="B187" s="27"/>
      <c r="C187" s="9"/>
      <c r="D187" s="14"/>
      <c r="E187" s="24"/>
      <c r="F187" s="11"/>
    </row>
  </sheetData>
  <autoFilter ref="A1:F66" xr:uid="{77415738-7553-4E66-9C68-9903A3F01304}"/>
  <dataValidations count="1">
    <dataValidation type="list" allowBlank="1" showInputMessage="1" showErrorMessage="1" sqref="F2:F187" xr:uid="{807A9A40-1EB6-4A85-BF52-D0039BC62C55}">
      <formula1>"Contato inicial, Envio de tabelas, Negociações, Cadastro/BID, Go live, Stand by, Declinado"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4E18-2333-4871-BB85-C00B2CAC53A5}">
  <sheetPr codeName="Planilha3" filterMode="1"/>
  <dimension ref="A1:F341"/>
  <sheetViews>
    <sheetView showGridLines="0" zoomScaleNormal="100" workbookViewId="0">
      <pane ySplit="41" topLeftCell="A42" activePane="bottomLeft" state="frozen"/>
      <selection pane="bottomLeft" activeCell="F182" sqref="F182"/>
    </sheetView>
  </sheetViews>
  <sheetFormatPr defaultColWidth="9.140625" defaultRowHeight="10.15"/>
  <cols>
    <col min="1" max="1" width="15.7109375" style="1" customWidth="1"/>
    <col min="2" max="2" width="20.7109375" style="1" customWidth="1"/>
    <col min="3" max="3" width="15.7109375" style="2" customWidth="1"/>
    <col min="4" max="4" width="150.7109375" style="1" customWidth="1"/>
    <col min="5" max="5" width="19.140625" style="25" bestFit="1" customWidth="1"/>
    <col min="6" max="6" width="17.7109375" style="1" customWidth="1"/>
    <col min="7" max="16384" width="9.140625" style="1"/>
  </cols>
  <sheetData>
    <row r="1" spans="1:6" ht="11.25">
      <c r="A1" s="5" t="s">
        <v>0</v>
      </c>
      <c r="B1" s="5" t="s">
        <v>1</v>
      </c>
      <c r="C1" s="6" t="s">
        <v>2</v>
      </c>
      <c r="D1" s="5" t="s">
        <v>3</v>
      </c>
      <c r="E1" s="21" t="s">
        <v>4</v>
      </c>
      <c r="F1" s="5" t="s">
        <v>5</v>
      </c>
    </row>
    <row r="2" spans="1:6" hidden="1">
      <c r="A2" s="14" t="s">
        <v>185</v>
      </c>
      <c r="B2" s="8" t="s">
        <v>186</v>
      </c>
      <c r="C2" s="9">
        <v>45755</v>
      </c>
      <c r="D2" s="13" t="s">
        <v>187</v>
      </c>
      <c r="E2" s="22">
        <v>1500000</v>
      </c>
      <c r="F2" s="11" t="s">
        <v>11</v>
      </c>
    </row>
    <row r="3" spans="1:6" hidden="1">
      <c r="A3" s="14" t="s">
        <v>185</v>
      </c>
      <c r="B3" s="8" t="s">
        <v>186</v>
      </c>
      <c r="C3" s="9">
        <v>45761</v>
      </c>
      <c r="D3" s="13" t="s">
        <v>188</v>
      </c>
      <c r="E3" s="22">
        <v>1500000</v>
      </c>
      <c r="F3" s="11" t="s">
        <v>11</v>
      </c>
    </row>
    <row r="4" spans="1:6" hidden="1">
      <c r="A4" s="14" t="s">
        <v>185</v>
      </c>
      <c r="B4" s="8" t="s">
        <v>186</v>
      </c>
      <c r="C4" s="9">
        <v>45776</v>
      </c>
      <c r="D4" s="18" t="s">
        <v>189</v>
      </c>
      <c r="E4" s="22">
        <v>1500000</v>
      </c>
      <c r="F4" s="11" t="s">
        <v>11</v>
      </c>
    </row>
    <row r="5" spans="1:6" hidden="1">
      <c r="A5" s="14" t="s">
        <v>185</v>
      </c>
      <c r="B5" s="8" t="s">
        <v>190</v>
      </c>
      <c r="C5" s="9">
        <v>45755</v>
      </c>
      <c r="D5" s="13" t="s">
        <v>191</v>
      </c>
      <c r="E5" s="22">
        <v>0</v>
      </c>
      <c r="F5" s="11" t="s">
        <v>9</v>
      </c>
    </row>
    <row r="6" spans="1:6" hidden="1">
      <c r="A6" s="14" t="s">
        <v>185</v>
      </c>
      <c r="B6" s="8" t="s">
        <v>192</v>
      </c>
      <c r="C6" s="9">
        <v>45761</v>
      </c>
      <c r="D6" s="18" t="s">
        <v>191</v>
      </c>
      <c r="E6" s="22">
        <v>0</v>
      </c>
      <c r="F6" s="11" t="s">
        <v>9</v>
      </c>
    </row>
    <row r="7" spans="1:6" hidden="1">
      <c r="A7" s="14" t="s">
        <v>185</v>
      </c>
      <c r="B7" s="8" t="s">
        <v>193</v>
      </c>
      <c r="C7" s="9" t="s">
        <v>194</v>
      </c>
      <c r="D7" s="18" t="s">
        <v>195</v>
      </c>
      <c r="E7" s="22">
        <v>0</v>
      </c>
      <c r="F7" s="11" t="s">
        <v>9</v>
      </c>
    </row>
    <row r="8" spans="1:6" hidden="1">
      <c r="A8" s="14" t="s">
        <v>185</v>
      </c>
      <c r="B8" s="8" t="s">
        <v>196</v>
      </c>
      <c r="C8" s="9">
        <v>45755</v>
      </c>
      <c r="D8" s="18" t="s">
        <v>197</v>
      </c>
      <c r="E8" s="22">
        <v>0</v>
      </c>
      <c r="F8" s="11" t="s">
        <v>27</v>
      </c>
    </row>
    <row r="9" spans="1:6" hidden="1">
      <c r="A9" s="14" t="s">
        <v>185</v>
      </c>
      <c r="B9" s="8" t="s">
        <v>198</v>
      </c>
      <c r="C9" s="9">
        <v>45755</v>
      </c>
      <c r="D9" s="13" t="s">
        <v>191</v>
      </c>
      <c r="E9" s="22">
        <v>0</v>
      </c>
      <c r="F9" s="11" t="s">
        <v>9</v>
      </c>
    </row>
    <row r="10" spans="1:6" hidden="1">
      <c r="A10" s="14" t="s">
        <v>185</v>
      </c>
      <c r="B10" s="8" t="s">
        <v>199</v>
      </c>
      <c r="C10" s="9">
        <v>45755</v>
      </c>
      <c r="D10" s="13" t="s">
        <v>191</v>
      </c>
      <c r="E10" s="22">
        <v>0</v>
      </c>
      <c r="F10" s="11" t="s">
        <v>9</v>
      </c>
    </row>
    <row r="11" spans="1:6" hidden="1">
      <c r="A11" s="14" t="s">
        <v>185</v>
      </c>
      <c r="B11" s="8" t="s">
        <v>200</v>
      </c>
      <c r="C11" s="9">
        <v>45755</v>
      </c>
      <c r="D11" s="13" t="s">
        <v>201</v>
      </c>
      <c r="E11" s="22">
        <v>800000</v>
      </c>
      <c r="F11" s="11" t="s">
        <v>11</v>
      </c>
    </row>
    <row r="12" spans="1:6" hidden="1">
      <c r="A12" s="14" t="s">
        <v>185</v>
      </c>
      <c r="B12" s="8" t="s">
        <v>200</v>
      </c>
      <c r="C12" s="9">
        <v>45761</v>
      </c>
      <c r="D12" s="18" t="s">
        <v>202</v>
      </c>
      <c r="E12" s="22">
        <v>800000</v>
      </c>
      <c r="F12" s="11" t="s">
        <v>11</v>
      </c>
    </row>
    <row r="13" spans="1:6" hidden="1">
      <c r="A13" s="14" t="s">
        <v>185</v>
      </c>
      <c r="B13" s="8" t="s">
        <v>200</v>
      </c>
      <c r="C13" s="9">
        <v>45776</v>
      </c>
      <c r="D13" s="18" t="s">
        <v>203</v>
      </c>
      <c r="E13" s="22">
        <v>800000</v>
      </c>
      <c r="F13" s="11" t="s">
        <v>11</v>
      </c>
    </row>
    <row r="14" spans="1:6" hidden="1">
      <c r="A14" s="14" t="s">
        <v>185</v>
      </c>
      <c r="B14" s="8" t="s">
        <v>204</v>
      </c>
      <c r="C14" s="9">
        <v>45755</v>
      </c>
      <c r="D14" s="18" t="s">
        <v>195</v>
      </c>
      <c r="E14" s="22">
        <v>0</v>
      </c>
      <c r="F14" s="11" t="s">
        <v>9</v>
      </c>
    </row>
    <row r="15" spans="1:6" hidden="1">
      <c r="A15" s="14" t="s">
        <v>185</v>
      </c>
      <c r="B15" s="8" t="s">
        <v>205</v>
      </c>
      <c r="C15" s="9">
        <v>45755</v>
      </c>
      <c r="D15" s="13" t="s">
        <v>206</v>
      </c>
      <c r="E15" s="22">
        <v>0</v>
      </c>
      <c r="F15" s="11" t="s">
        <v>11</v>
      </c>
    </row>
    <row r="16" spans="1:6" hidden="1">
      <c r="A16" s="14" t="s">
        <v>185</v>
      </c>
      <c r="B16" s="8" t="s">
        <v>207</v>
      </c>
      <c r="C16" s="9">
        <v>45755</v>
      </c>
      <c r="D16" s="18" t="s">
        <v>191</v>
      </c>
      <c r="E16" s="23">
        <v>1000000</v>
      </c>
      <c r="F16" s="11" t="s">
        <v>11</v>
      </c>
    </row>
    <row r="17" spans="1:6" hidden="1">
      <c r="A17" s="14" t="s">
        <v>185</v>
      </c>
      <c r="B17" s="8" t="s">
        <v>207</v>
      </c>
      <c r="C17" s="9">
        <v>45761</v>
      </c>
      <c r="D17" s="13" t="s">
        <v>208</v>
      </c>
      <c r="E17" s="23">
        <v>1000000</v>
      </c>
      <c r="F17" s="11" t="s">
        <v>11</v>
      </c>
    </row>
    <row r="18" spans="1:6" hidden="1">
      <c r="A18" s="14" t="s">
        <v>185</v>
      </c>
      <c r="B18" s="8" t="s">
        <v>209</v>
      </c>
      <c r="C18" s="9">
        <v>45755</v>
      </c>
      <c r="D18" s="13" t="s">
        <v>191</v>
      </c>
      <c r="E18" s="22">
        <v>1500000</v>
      </c>
      <c r="F18" s="11" t="s">
        <v>11</v>
      </c>
    </row>
    <row r="19" spans="1:6" hidden="1">
      <c r="A19" s="14" t="s">
        <v>185</v>
      </c>
      <c r="B19" s="8" t="s">
        <v>209</v>
      </c>
      <c r="C19" s="9">
        <v>45761</v>
      </c>
      <c r="D19" s="18" t="s">
        <v>202</v>
      </c>
      <c r="E19" s="22">
        <v>1500000</v>
      </c>
      <c r="F19" s="11" t="s">
        <v>11</v>
      </c>
    </row>
    <row r="20" spans="1:6" hidden="1">
      <c r="A20" s="14" t="s">
        <v>185</v>
      </c>
      <c r="B20" s="8" t="s">
        <v>209</v>
      </c>
      <c r="C20" s="9">
        <v>45776</v>
      </c>
      <c r="D20" s="18" t="s">
        <v>210</v>
      </c>
      <c r="E20" s="22">
        <v>1500000</v>
      </c>
      <c r="F20" s="11" t="s">
        <v>11</v>
      </c>
    </row>
    <row r="21" spans="1:6" hidden="1">
      <c r="A21" s="14" t="s">
        <v>185</v>
      </c>
      <c r="B21" s="8" t="s">
        <v>211</v>
      </c>
      <c r="C21" s="9">
        <v>45755</v>
      </c>
      <c r="D21" s="18" t="s">
        <v>212</v>
      </c>
      <c r="E21" s="22">
        <v>0</v>
      </c>
      <c r="F21" s="11" t="s">
        <v>27</v>
      </c>
    </row>
    <row r="22" spans="1:6" hidden="1">
      <c r="A22" s="14" t="s">
        <v>185</v>
      </c>
      <c r="B22" s="8" t="s">
        <v>213</v>
      </c>
      <c r="C22" s="9">
        <v>45755</v>
      </c>
      <c r="D22" s="18" t="s">
        <v>191</v>
      </c>
      <c r="E22" s="22">
        <v>0</v>
      </c>
      <c r="F22" s="11" t="s">
        <v>9</v>
      </c>
    </row>
    <row r="23" spans="1:6" hidden="1">
      <c r="A23" s="14" t="s">
        <v>185</v>
      </c>
      <c r="B23" s="8" t="s">
        <v>214</v>
      </c>
      <c r="C23" s="9">
        <v>45755</v>
      </c>
      <c r="D23" s="18" t="s">
        <v>191</v>
      </c>
      <c r="E23" s="22">
        <v>0</v>
      </c>
      <c r="F23" s="11" t="s">
        <v>9</v>
      </c>
    </row>
    <row r="24" spans="1:6" hidden="1">
      <c r="A24" s="14" t="s">
        <v>185</v>
      </c>
      <c r="B24" s="8" t="s">
        <v>215</v>
      </c>
      <c r="C24" s="9">
        <v>45776</v>
      </c>
      <c r="D24" s="18" t="s">
        <v>191</v>
      </c>
      <c r="E24" s="22">
        <v>0</v>
      </c>
      <c r="F24" s="11" t="s">
        <v>9</v>
      </c>
    </row>
    <row r="25" spans="1:6" hidden="1">
      <c r="A25" s="14" t="s">
        <v>185</v>
      </c>
      <c r="B25" s="8" t="s">
        <v>216</v>
      </c>
      <c r="C25" s="9">
        <v>45755</v>
      </c>
      <c r="D25" s="18" t="s">
        <v>191</v>
      </c>
      <c r="E25" s="22">
        <v>0</v>
      </c>
      <c r="F25" s="11" t="s">
        <v>9</v>
      </c>
    </row>
    <row r="26" spans="1:6" hidden="1">
      <c r="A26" s="14" t="s">
        <v>185</v>
      </c>
      <c r="B26" s="8" t="s">
        <v>217</v>
      </c>
      <c r="C26" s="9">
        <v>45755</v>
      </c>
      <c r="D26" s="18" t="s">
        <v>191</v>
      </c>
      <c r="E26" s="22">
        <v>0</v>
      </c>
      <c r="F26" s="11" t="s">
        <v>9</v>
      </c>
    </row>
    <row r="27" spans="1:6" hidden="1">
      <c r="A27" s="14" t="s">
        <v>185</v>
      </c>
      <c r="B27" s="8" t="s">
        <v>218</v>
      </c>
      <c r="C27" s="9">
        <v>45755</v>
      </c>
      <c r="D27" s="18" t="s">
        <v>191</v>
      </c>
      <c r="E27" s="22">
        <v>0</v>
      </c>
      <c r="F27" s="11" t="s">
        <v>9</v>
      </c>
    </row>
    <row r="28" spans="1:6" hidden="1">
      <c r="A28" s="14" t="s">
        <v>185</v>
      </c>
      <c r="B28" s="8" t="s">
        <v>219</v>
      </c>
      <c r="C28" s="9">
        <v>45755</v>
      </c>
      <c r="D28" s="18" t="s">
        <v>191</v>
      </c>
      <c r="E28" s="22">
        <v>0</v>
      </c>
      <c r="F28" s="11" t="s">
        <v>9</v>
      </c>
    </row>
    <row r="29" spans="1:6" hidden="1">
      <c r="A29" s="14" t="s">
        <v>185</v>
      </c>
      <c r="B29" s="8" t="s">
        <v>220</v>
      </c>
      <c r="C29" s="9" t="s">
        <v>194</v>
      </c>
      <c r="D29" s="13" t="s">
        <v>221</v>
      </c>
      <c r="E29" s="22">
        <v>0</v>
      </c>
      <c r="F29" s="11" t="s">
        <v>9</v>
      </c>
    </row>
    <row r="30" spans="1:6" hidden="1">
      <c r="A30" s="14" t="s">
        <v>185</v>
      </c>
      <c r="B30" s="8" t="s">
        <v>222</v>
      </c>
      <c r="C30" s="9">
        <v>45755</v>
      </c>
      <c r="D30" s="18" t="s">
        <v>191</v>
      </c>
      <c r="E30" s="22">
        <v>0</v>
      </c>
      <c r="F30" s="11" t="s">
        <v>9</v>
      </c>
    </row>
    <row r="31" spans="1:6" hidden="1">
      <c r="A31" s="14" t="s">
        <v>185</v>
      </c>
      <c r="B31" s="8" t="s">
        <v>223</v>
      </c>
      <c r="C31" s="9" t="s">
        <v>194</v>
      </c>
      <c r="D31" s="18" t="s">
        <v>191</v>
      </c>
      <c r="E31" s="22">
        <v>0</v>
      </c>
      <c r="F31" s="11" t="s">
        <v>9</v>
      </c>
    </row>
    <row r="32" spans="1:6" hidden="1">
      <c r="A32" s="14" t="s">
        <v>185</v>
      </c>
      <c r="B32" s="8" t="s">
        <v>224</v>
      </c>
      <c r="C32" s="9" t="s">
        <v>194</v>
      </c>
      <c r="D32" s="18" t="s">
        <v>191</v>
      </c>
      <c r="E32" s="22">
        <v>0</v>
      </c>
      <c r="F32" s="11" t="s">
        <v>9</v>
      </c>
    </row>
    <row r="33" spans="1:6" hidden="1">
      <c r="A33" s="14" t="s">
        <v>185</v>
      </c>
      <c r="B33" s="8" t="s">
        <v>225</v>
      </c>
      <c r="C33" s="9" t="s">
        <v>194</v>
      </c>
      <c r="D33" s="18" t="s">
        <v>191</v>
      </c>
      <c r="E33" s="22">
        <v>0</v>
      </c>
      <c r="F33" s="11" t="s">
        <v>9</v>
      </c>
    </row>
    <row r="34" spans="1:6" hidden="1">
      <c r="A34" s="14" t="s">
        <v>185</v>
      </c>
      <c r="B34" s="8" t="s">
        <v>226</v>
      </c>
      <c r="C34" s="9">
        <v>45755</v>
      </c>
      <c r="D34" s="18" t="s">
        <v>191</v>
      </c>
      <c r="E34" s="22">
        <v>0</v>
      </c>
      <c r="F34" s="11" t="s">
        <v>9</v>
      </c>
    </row>
    <row r="35" spans="1:6" hidden="1">
      <c r="A35" s="14" t="s">
        <v>185</v>
      </c>
      <c r="B35" s="8" t="s">
        <v>227</v>
      </c>
      <c r="C35" s="9" t="s">
        <v>194</v>
      </c>
      <c r="D35" s="14" t="s">
        <v>228</v>
      </c>
      <c r="E35" s="22">
        <v>0</v>
      </c>
      <c r="F35" s="11" t="s">
        <v>9</v>
      </c>
    </row>
    <row r="36" spans="1:6" hidden="1">
      <c r="A36" s="14" t="s">
        <v>185</v>
      </c>
      <c r="B36" s="8" t="s">
        <v>229</v>
      </c>
      <c r="C36" s="9">
        <v>45776</v>
      </c>
      <c r="D36" s="18" t="s">
        <v>191</v>
      </c>
      <c r="E36" s="22">
        <v>0</v>
      </c>
      <c r="F36" s="11" t="s">
        <v>9</v>
      </c>
    </row>
    <row r="37" spans="1:6" hidden="1">
      <c r="A37" s="14" t="s">
        <v>185</v>
      </c>
      <c r="B37" s="8" t="s">
        <v>230</v>
      </c>
      <c r="C37" s="9">
        <v>45761</v>
      </c>
      <c r="D37" s="18" t="s">
        <v>191</v>
      </c>
      <c r="E37" s="22">
        <v>0</v>
      </c>
      <c r="F37" s="11" t="s">
        <v>9</v>
      </c>
    </row>
    <row r="38" spans="1:6" hidden="1">
      <c r="A38" s="14" t="s">
        <v>185</v>
      </c>
      <c r="B38" s="8" t="s">
        <v>231</v>
      </c>
      <c r="C38" s="9">
        <v>45755</v>
      </c>
      <c r="D38" s="18" t="s">
        <v>191</v>
      </c>
      <c r="E38" s="22">
        <v>0</v>
      </c>
      <c r="F38" s="11" t="s">
        <v>9</v>
      </c>
    </row>
    <row r="39" spans="1:6" hidden="1">
      <c r="A39" s="14" t="s">
        <v>185</v>
      </c>
      <c r="B39" s="8" t="s">
        <v>232</v>
      </c>
      <c r="C39" s="9">
        <v>45776</v>
      </c>
      <c r="D39" s="18" t="s">
        <v>191</v>
      </c>
      <c r="E39" s="22">
        <v>0</v>
      </c>
      <c r="F39" s="11" t="s">
        <v>9</v>
      </c>
    </row>
    <row r="40" spans="1:6" hidden="1">
      <c r="A40" s="14" t="s">
        <v>185</v>
      </c>
      <c r="B40" s="8" t="s">
        <v>233</v>
      </c>
      <c r="C40" s="9">
        <v>45755</v>
      </c>
      <c r="D40" s="18" t="s">
        <v>191</v>
      </c>
      <c r="E40" s="22">
        <v>0</v>
      </c>
      <c r="F40" s="11" t="s">
        <v>9</v>
      </c>
    </row>
    <row r="41" spans="1:6" hidden="1">
      <c r="A41" s="14" t="s">
        <v>185</v>
      </c>
      <c r="B41" s="8" t="s">
        <v>234</v>
      </c>
      <c r="C41" s="9">
        <v>45755</v>
      </c>
      <c r="D41" s="18" t="s">
        <v>191</v>
      </c>
      <c r="E41" s="22">
        <v>0</v>
      </c>
      <c r="F41" s="11" t="s">
        <v>9</v>
      </c>
    </row>
    <row r="42" spans="1:6" hidden="1">
      <c r="A42" s="14" t="s">
        <v>185</v>
      </c>
      <c r="B42" s="8" t="s">
        <v>235</v>
      </c>
      <c r="C42" s="9">
        <v>45755</v>
      </c>
      <c r="D42" s="18" t="s">
        <v>191</v>
      </c>
      <c r="E42" s="22">
        <v>0</v>
      </c>
      <c r="F42" s="11" t="s">
        <v>9</v>
      </c>
    </row>
    <row r="43" spans="1:6" hidden="1">
      <c r="A43" s="14" t="s">
        <v>185</v>
      </c>
      <c r="B43" s="8" t="s">
        <v>236</v>
      </c>
      <c r="C43" s="9">
        <v>45755</v>
      </c>
      <c r="D43" s="18" t="s">
        <v>191</v>
      </c>
      <c r="E43" s="22">
        <v>0</v>
      </c>
      <c r="F43" s="11" t="s">
        <v>9</v>
      </c>
    </row>
    <row r="44" spans="1:6" hidden="1">
      <c r="A44" s="14" t="s">
        <v>185</v>
      </c>
      <c r="B44" s="8" t="s">
        <v>237</v>
      </c>
      <c r="C44" s="9" t="s">
        <v>194</v>
      </c>
      <c r="D44" s="18" t="s">
        <v>191</v>
      </c>
      <c r="E44" s="22">
        <v>0</v>
      </c>
      <c r="F44" s="11" t="s">
        <v>9</v>
      </c>
    </row>
    <row r="45" spans="1:6" hidden="1">
      <c r="A45" s="14" t="s">
        <v>185</v>
      </c>
      <c r="B45" s="8" t="s">
        <v>238</v>
      </c>
      <c r="C45" s="9">
        <v>45761</v>
      </c>
      <c r="D45" s="18" t="s">
        <v>239</v>
      </c>
      <c r="E45" s="22">
        <v>0</v>
      </c>
      <c r="F45" s="11" t="s">
        <v>27</v>
      </c>
    </row>
    <row r="46" spans="1:6" hidden="1">
      <c r="A46" s="14" t="s">
        <v>185</v>
      </c>
      <c r="B46" s="8" t="s">
        <v>240</v>
      </c>
      <c r="C46" s="9">
        <v>45755</v>
      </c>
      <c r="D46" s="18" t="s">
        <v>195</v>
      </c>
      <c r="E46" s="22">
        <v>3000000</v>
      </c>
      <c r="F46" s="11" t="s">
        <v>27</v>
      </c>
    </row>
    <row r="47" spans="1:6" hidden="1">
      <c r="A47" s="14" t="s">
        <v>185</v>
      </c>
      <c r="B47" s="8" t="s">
        <v>241</v>
      </c>
      <c r="C47" s="9" t="s">
        <v>194</v>
      </c>
      <c r="D47" s="18" t="s">
        <v>195</v>
      </c>
      <c r="E47" s="22">
        <v>0</v>
      </c>
      <c r="F47" s="11" t="s">
        <v>9</v>
      </c>
    </row>
    <row r="48" spans="1:6" hidden="1">
      <c r="A48" s="14" t="s">
        <v>185</v>
      </c>
      <c r="B48" s="8" t="s">
        <v>242</v>
      </c>
      <c r="C48" s="9">
        <v>45776</v>
      </c>
      <c r="D48" s="18" t="s">
        <v>191</v>
      </c>
      <c r="E48" s="22">
        <v>0</v>
      </c>
      <c r="F48" s="11" t="s">
        <v>9</v>
      </c>
    </row>
    <row r="49" spans="1:6" hidden="1">
      <c r="A49" s="14" t="s">
        <v>185</v>
      </c>
      <c r="B49" s="8" t="s">
        <v>243</v>
      </c>
      <c r="C49" s="9">
        <v>45755</v>
      </c>
      <c r="D49" s="18" t="s">
        <v>195</v>
      </c>
      <c r="E49" s="22">
        <v>0</v>
      </c>
      <c r="F49" s="11" t="s">
        <v>9</v>
      </c>
    </row>
    <row r="50" spans="1:6" hidden="1">
      <c r="A50" s="14" t="s">
        <v>185</v>
      </c>
      <c r="B50" s="8" t="s">
        <v>244</v>
      </c>
      <c r="C50" s="9">
        <v>45755</v>
      </c>
      <c r="D50" s="18" t="s">
        <v>191</v>
      </c>
      <c r="E50" s="22">
        <v>0</v>
      </c>
      <c r="F50" s="11" t="s">
        <v>9</v>
      </c>
    </row>
    <row r="51" spans="1:6" hidden="1">
      <c r="A51" s="14" t="s">
        <v>185</v>
      </c>
      <c r="B51" s="8" t="s">
        <v>245</v>
      </c>
      <c r="C51" s="9">
        <v>45755</v>
      </c>
      <c r="D51" s="13" t="s">
        <v>191</v>
      </c>
      <c r="E51" s="22">
        <v>0</v>
      </c>
      <c r="F51" s="11" t="s">
        <v>9</v>
      </c>
    </row>
    <row r="52" spans="1:6" hidden="1">
      <c r="A52" s="14" t="s">
        <v>185</v>
      </c>
      <c r="B52" s="8" t="s">
        <v>246</v>
      </c>
      <c r="C52" s="9">
        <v>45755</v>
      </c>
      <c r="D52" s="13" t="s">
        <v>191</v>
      </c>
      <c r="E52" s="22">
        <v>0</v>
      </c>
      <c r="F52" s="11" t="s">
        <v>9</v>
      </c>
    </row>
    <row r="53" spans="1:6" hidden="1">
      <c r="A53" s="14" t="s">
        <v>185</v>
      </c>
      <c r="B53" s="8" t="s">
        <v>247</v>
      </c>
      <c r="C53" s="9">
        <v>45755</v>
      </c>
      <c r="D53" s="13" t="s">
        <v>191</v>
      </c>
      <c r="E53" s="22">
        <v>0</v>
      </c>
      <c r="F53" s="11" t="s">
        <v>9</v>
      </c>
    </row>
    <row r="54" spans="1:6" hidden="1">
      <c r="A54" s="14" t="s">
        <v>185</v>
      </c>
      <c r="B54" s="8" t="s">
        <v>248</v>
      </c>
      <c r="C54" s="9" t="s">
        <v>194</v>
      </c>
      <c r="D54" s="13" t="s">
        <v>191</v>
      </c>
      <c r="E54" s="22">
        <v>0</v>
      </c>
      <c r="F54" s="11" t="s">
        <v>9</v>
      </c>
    </row>
    <row r="55" spans="1:6" hidden="1">
      <c r="A55" s="14" t="s">
        <v>185</v>
      </c>
      <c r="B55" s="8" t="s">
        <v>249</v>
      </c>
      <c r="C55" s="9">
        <v>45755</v>
      </c>
      <c r="D55" s="18" t="s">
        <v>191</v>
      </c>
      <c r="E55" s="22">
        <v>0</v>
      </c>
      <c r="F55" s="11" t="s">
        <v>9</v>
      </c>
    </row>
    <row r="56" spans="1:6" hidden="1">
      <c r="A56" s="14" t="s">
        <v>185</v>
      </c>
      <c r="B56" s="8" t="s">
        <v>250</v>
      </c>
      <c r="C56" s="9">
        <v>45755</v>
      </c>
      <c r="D56" s="13" t="s">
        <v>191</v>
      </c>
      <c r="E56" s="22">
        <v>0</v>
      </c>
      <c r="F56" s="11" t="s">
        <v>9</v>
      </c>
    </row>
    <row r="57" spans="1:6" hidden="1">
      <c r="A57" s="14" t="s">
        <v>185</v>
      </c>
      <c r="B57" s="8" t="s">
        <v>251</v>
      </c>
      <c r="C57" s="9">
        <v>45755</v>
      </c>
      <c r="D57" s="18" t="s">
        <v>191</v>
      </c>
      <c r="E57" s="22">
        <v>0</v>
      </c>
      <c r="F57" s="11" t="s">
        <v>9</v>
      </c>
    </row>
    <row r="58" spans="1:6" hidden="1">
      <c r="A58" s="14" t="s">
        <v>185</v>
      </c>
      <c r="B58" s="8" t="s">
        <v>252</v>
      </c>
      <c r="C58" s="9">
        <v>45755</v>
      </c>
      <c r="D58" s="13" t="s">
        <v>191</v>
      </c>
      <c r="E58" s="22">
        <v>0</v>
      </c>
      <c r="F58" s="11" t="s">
        <v>9</v>
      </c>
    </row>
    <row r="59" spans="1:6" hidden="1">
      <c r="A59" s="14" t="s">
        <v>185</v>
      </c>
      <c r="B59" s="8" t="s">
        <v>253</v>
      </c>
      <c r="C59" s="9">
        <v>45755</v>
      </c>
      <c r="D59" s="18" t="s">
        <v>191</v>
      </c>
      <c r="E59" s="22">
        <v>0</v>
      </c>
      <c r="F59" s="11" t="s">
        <v>9</v>
      </c>
    </row>
    <row r="60" spans="1:6" hidden="1">
      <c r="A60" s="14" t="s">
        <v>185</v>
      </c>
      <c r="B60" s="8" t="s">
        <v>254</v>
      </c>
      <c r="C60" s="9">
        <v>45755</v>
      </c>
      <c r="D60" s="18" t="s">
        <v>191</v>
      </c>
      <c r="E60" s="22">
        <v>0</v>
      </c>
      <c r="F60" s="11" t="s">
        <v>9</v>
      </c>
    </row>
    <row r="61" spans="1:6" hidden="1">
      <c r="A61" s="14" t="s">
        <v>185</v>
      </c>
      <c r="B61" s="8" t="s">
        <v>255</v>
      </c>
      <c r="C61" s="9">
        <v>45755</v>
      </c>
      <c r="D61" s="13" t="s">
        <v>191</v>
      </c>
      <c r="E61" s="22">
        <v>0</v>
      </c>
      <c r="F61" s="11" t="s">
        <v>9</v>
      </c>
    </row>
    <row r="62" spans="1:6" hidden="1">
      <c r="A62" s="14" t="s">
        <v>185</v>
      </c>
      <c r="B62" s="8" t="s">
        <v>256</v>
      </c>
      <c r="C62" s="9">
        <v>45755</v>
      </c>
      <c r="D62" s="13" t="s">
        <v>191</v>
      </c>
      <c r="E62" s="22">
        <v>0</v>
      </c>
      <c r="F62" s="11" t="s">
        <v>9</v>
      </c>
    </row>
    <row r="63" spans="1:6" hidden="1">
      <c r="A63" s="14" t="s">
        <v>185</v>
      </c>
      <c r="B63" s="8" t="s">
        <v>257</v>
      </c>
      <c r="C63" s="9">
        <v>45755</v>
      </c>
      <c r="D63" s="13" t="s">
        <v>191</v>
      </c>
      <c r="E63" s="22">
        <v>0</v>
      </c>
      <c r="F63" s="11" t="s">
        <v>11</v>
      </c>
    </row>
    <row r="64" spans="1:6" hidden="1">
      <c r="A64" s="14" t="s">
        <v>185</v>
      </c>
      <c r="B64" s="8" t="s">
        <v>257</v>
      </c>
      <c r="C64" s="9">
        <v>45761</v>
      </c>
      <c r="D64" s="13" t="s">
        <v>202</v>
      </c>
      <c r="E64" s="22">
        <v>0</v>
      </c>
      <c r="F64" s="11" t="s">
        <v>11</v>
      </c>
    </row>
    <row r="65" spans="1:6" hidden="1">
      <c r="A65" s="14" t="s">
        <v>185</v>
      </c>
      <c r="B65" s="8" t="s">
        <v>257</v>
      </c>
      <c r="C65" s="9">
        <v>45776</v>
      </c>
      <c r="D65" s="13" t="s">
        <v>258</v>
      </c>
      <c r="E65" s="22">
        <v>0</v>
      </c>
      <c r="F65" s="11" t="s">
        <v>11</v>
      </c>
    </row>
    <row r="66" spans="1:6" hidden="1">
      <c r="A66" s="14" t="s">
        <v>185</v>
      </c>
      <c r="B66" s="8" t="s">
        <v>259</v>
      </c>
      <c r="C66" s="9">
        <v>45755</v>
      </c>
      <c r="D66" s="13" t="s">
        <v>260</v>
      </c>
      <c r="E66" s="22">
        <v>0</v>
      </c>
      <c r="F66" s="11" t="s">
        <v>27</v>
      </c>
    </row>
    <row r="67" spans="1:6" hidden="1">
      <c r="A67" s="14" t="s">
        <v>185</v>
      </c>
      <c r="B67" s="8" t="s">
        <v>259</v>
      </c>
      <c r="C67" s="9">
        <v>45761</v>
      </c>
      <c r="D67" s="13" t="s">
        <v>202</v>
      </c>
      <c r="E67" s="22">
        <v>0</v>
      </c>
      <c r="F67" s="11" t="s">
        <v>27</v>
      </c>
    </row>
    <row r="68" spans="1:6" hidden="1">
      <c r="A68" s="14" t="s">
        <v>185</v>
      </c>
      <c r="B68" s="8" t="s">
        <v>261</v>
      </c>
      <c r="C68" s="9">
        <v>45755</v>
      </c>
      <c r="D68" s="13" t="s">
        <v>191</v>
      </c>
      <c r="E68" s="22">
        <v>0</v>
      </c>
      <c r="F68" s="11" t="s">
        <v>27</v>
      </c>
    </row>
    <row r="69" spans="1:6" hidden="1">
      <c r="A69" s="14" t="s">
        <v>185</v>
      </c>
      <c r="B69" s="8" t="s">
        <v>261</v>
      </c>
      <c r="C69" s="9">
        <v>45761</v>
      </c>
      <c r="D69" s="13" t="s">
        <v>262</v>
      </c>
      <c r="E69" s="22">
        <v>0</v>
      </c>
      <c r="F69" s="11" t="s">
        <v>27</v>
      </c>
    </row>
    <row r="70" spans="1:6" hidden="1">
      <c r="A70" s="14" t="s">
        <v>185</v>
      </c>
      <c r="B70" s="8" t="s">
        <v>263</v>
      </c>
      <c r="C70" s="9">
        <v>45755</v>
      </c>
      <c r="D70" s="13" t="s">
        <v>191</v>
      </c>
      <c r="E70" s="22">
        <v>0</v>
      </c>
      <c r="F70" s="11" t="s">
        <v>9</v>
      </c>
    </row>
    <row r="71" spans="1:6" hidden="1">
      <c r="A71" s="14" t="s">
        <v>185</v>
      </c>
      <c r="B71" s="8" t="s">
        <v>264</v>
      </c>
      <c r="C71" s="9">
        <v>45761</v>
      </c>
      <c r="D71" s="13" t="s">
        <v>191</v>
      </c>
      <c r="E71" s="22">
        <v>0</v>
      </c>
      <c r="F71" s="11" t="s">
        <v>9</v>
      </c>
    </row>
    <row r="72" spans="1:6" hidden="1">
      <c r="A72" s="14" t="s">
        <v>185</v>
      </c>
      <c r="B72" s="8" t="s">
        <v>265</v>
      </c>
      <c r="C72" s="9">
        <v>45755</v>
      </c>
      <c r="D72" s="13" t="s">
        <v>266</v>
      </c>
      <c r="E72" s="22">
        <v>0</v>
      </c>
      <c r="F72" s="11" t="s">
        <v>27</v>
      </c>
    </row>
    <row r="73" spans="1:6" hidden="1">
      <c r="A73" s="14" t="s">
        <v>185</v>
      </c>
      <c r="B73" s="8" t="s">
        <v>267</v>
      </c>
      <c r="C73" s="9" t="s">
        <v>194</v>
      </c>
      <c r="D73" s="13" t="s">
        <v>191</v>
      </c>
      <c r="E73" s="22">
        <v>0</v>
      </c>
      <c r="F73" s="11" t="s">
        <v>9</v>
      </c>
    </row>
    <row r="74" spans="1:6" hidden="1">
      <c r="A74" s="14" t="s">
        <v>185</v>
      </c>
      <c r="B74" s="8" t="s">
        <v>268</v>
      </c>
      <c r="C74" s="9" t="s">
        <v>194</v>
      </c>
      <c r="D74" s="13" t="s">
        <v>191</v>
      </c>
      <c r="E74" s="22">
        <v>0</v>
      </c>
      <c r="F74" s="11" t="s">
        <v>9</v>
      </c>
    </row>
    <row r="75" spans="1:6" hidden="1">
      <c r="A75" s="14" t="s">
        <v>185</v>
      </c>
      <c r="B75" s="14" t="s">
        <v>269</v>
      </c>
      <c r="C75" s="9">
        <v>45755</v>
      </c>
      <c r="D75" s="14" t="s">
        <v>191</v>
      </c>
      <c r="E75" s="22">
        <v>0</v>
      </c>
      <c r="F75" s="14" t="s">
        <v>9</v>
      </c>
    </row>
    <row r="76" spans="1:6" hidden="1">
      <c r="A76" s="14" t="s">
        <v>185</v>
      </c>
      <c r="B76" s="14" t="s">
        <v>270</v>
      </c>
      <c r="C76" s="9">
        <v>45755</v>
      </c>
      <c r="D76" s="14" t="s">
        <v>191</v>
      </c>
      <c r="E76" s="22">
        <v>0</v>
      </c>
      <c r="F76" s="14" t="s">
        <v>9</v>
      </c>
    </row>
    <row r="77" spans="1:6" hidden="1">
      <c r="A77" s="14" t="s">
        <v>185</v>
      </c>
      <c r="B77" s="14" t="s">
        <v>271</v>
      </c>
      <c r="C77" s="9">
        <v>45755</v>
      </c>
      <c r="D77" s="14" t="s">
        <v>191</v>
      </c>
      <c r="E77" s="22">
        <v>0</v>
      </c>
      <c r="F77" s="14" t="s">
        <v>9</v>
      </c>
    </row>
    <row r="78" spans="1:6" hidden="1">
      <c r="A78" s="14" t="s">
        <v>185</v>
      </c>
      <c r="B78" s="14" t="s">
        <v>272</v>
      </c>
      <c r="C78" s="9">
        <v>45755</v>
      </c>
      <c r="D78" s="14" t="s">
        <v>191</v>
      </c>
      <c r="E78" s="22">
        <v>0</v>
      </c>
      <c r="F78" s="14" t="s">
        <v>9</v>
      </c>
    </row>
    <row r="79" spans="1:6" hidden="1">
      <c r="A79" s="14" t="s">
        <v>185</v>
      </c>
      <c r="B79" s="14" t="s">
        <v>273</v>
      </c>
      <c r="C79" s="9">
        <v>45761</v>
      </c>
      <c r="D79" s="14" t="s">
        <v>208</v>
      </c>
      <c r="E79" s="24">
        <v>300000</v>
      </c>
      <c r="F79" s="14" t="s">
        <v>11</v>
      </c>
    </row>
    <row r="80" spans="1:6" hidden="1">
      <c r="A80" s="14" t="s">
        <v>185</v>
      </c>
      <c r="B80" s="14" t="s">
        <v>274</v>
      </c>
      <c r="C80" s="9" t="s">
        <v>194</v>
      </c>
      <c r="D80" s="14" t="s">
        <v>191</v>
      </c>
      <c r="E80" s="22">
        <v>0</v>
      </c>
      <c r="F80" s="14" t="s">
        <v>9</v>
      </c>
    </row>
    <row r="81" spans="1:6" hidden="1">
      <c r="A81" s="14" t="s">
        <v>185</v>
      </c>
      <c r="B81" s="14" t="s">
        <v>275</v>
      </c>
      <c r="C81" s="9">
        <v>45755</v>
      </c>
      <c r="D81" s="14" t="s">
        <v>191</v>
      </c>
      <c r="E81" s="22">
        <v>0</v>
      </c>
      <c r="F81" s="14" t="s">
        <v>9</v>
      </c>
    </row>
    <row r="82" spans="1:6" hidden="1">
      <c r="A82" s="14" t="s">
        <v>185</v>
      </c>
      <c r="B82" s="14" t="s">
        <v>276</v>
      </c>
      <c r="C82" s="9" t="s">
        <v>194</v>
      </c>
      <c r="D82" s="14" t="s">
        <v>191</v>
      </c>
      <c r="E82" s="22">
        <v>0</v>
      </c>
      <c r="F82" s="14" t="s">
        <v>9</v>
      </c>
    </row>
    <row r="83" spans="1:6" hidden="1">
      <c r="A83" s="14" t="s">
        <v>185</v>
      </c>
      <c r="B83" s="14" t="s">
        <v>277</v>
      </c>
      <c r="C83" s="9">
        <v>45755</v>
      </c>
      <c r="D83" s="14" t="s">
        <v>191</v>
      </c>
      <c r="E83" s="22">
        <v>0</v>
      </c>
      <c r="F83" s="14" t="s">
        <v>9</v>
      </c>
    </row>
    <row r="84" spans="1:6" hidden="1">
      <c r="A84" s="14" t="s">
        <v>185</v>
      </c>
      <c r="B84" s="14" t="s">
        <v>277</v>
      </c>
      <c r="C84" s="9" t="s">
        <v>194</v>
      </c>
      <c r="D84" s="14" t="s">
        <v>191</v>
      </c>
      <c r="E84" s="22">
        <v>0</v>
      </c>
      <c r="F84" s="14" t="s">
        <v>13</v>
      </c>
    </row>
    <row r="85" spans="1:6" hidden="1">
      <c r="A85" s="14" t="s">
        <v>185</v>
      </c>
      <c r="B85" s="14" t="s">
        <v>278</v>
      </c>
      <c r="C85" s="9">
        <v>45755</v>
      </c>
      <c r="D85" s="14" t="s">
        <v>279</v>
      </c>
      <c r="E85" s="24">
        <v>4000000</v>
      </c>
      <c r="F85" s="14" t="s">
        <v>11</v>
      </c>
    </row>
    <row r="86" spans="1:6" hidden="1">
      <c r="A86" s="14" t="s">
        <v>185</v>
      </c>
      <c r="B86" s="14" t="s">
        <v>280</v>
      </c>
      <c r="C86" s="9">
        <v>45761</v>
      </c>
      <c r="D86" s="14" t="s">
        <v>191</v>
      </c>
      <c r="E86" s="22">
        <v>0</v>
      </c>
      <c r="F86" s="14" t="s">
        <v>9</v>
      </c>
    </row>
    <row r="87" spans="1:6" hidden="1">
      <c r="A87" s="14" t="s">
        <v>185</v>
      </c>
      <c r="B87" s="14" t="s">
        <v>281</v>
      </c>
      <c r="C87" s="9">
        <v>45755</v>
      </c>
      <c r="D87" s="14" t="s">
        <v>191</v>
      </c>
      <c r="E87" s="22">
        <v>0</v>
      </c>
      <c r="F87" s="14" t="s">
        <v>9</v>
      </c>
    </row>
    <row r="88" spans="1:6" hidden="1">
      <c r="A88" s="14" t="s">
        <v>185</v>
      </c>
      <c r="B88" s="14" t="s">
        <v>282</v>
      </c>
      <c r="C88" s="9" t="s">
        <v>194</v>
      </c>
      <c r="D88" s="14" t="s">
        <v>191</v>
      </c>
      <c r="E88" s="22">
        <v>0</v>
      </c>
      <c r="F88" s="14" t="s">
        <v>9</v>
      </c>
    </row>
    <row r="89" spans="1:6" hidden="1">
      <c r="A89" s="14" t="s">
        <v>185</v>
      </c>
      <c r="B89" s="14" t="s">
        <v>283</v>
      </c>
      <c r="C89" s="9" t="s">
        <v>194</v>
      </c>
      <c r="D89" s="14" t="s">
        <v>191</v>
      </c>
      <c r="E89" s="22">
        <v>0</v>
      </c>
      <c r="F89" s="14" t="s">
        <v>9</v>
      </c>
    </row>
    <row r="90" spans="1:6" hidden="1">
      <c r="A90" s="14" t="s">
        <v>185</v>
      </c>
      <c r="B90" s="14" t="s">
        <v>284</v>
      </c>
      <c r="C90" s="9" t="s">
        <v>194</v>
      </c>
      <c r="D90" s="14" t="s">
        <v>191</v>
      </c>
      <c r="E90" s="22">
        <v>0</v>
      </c>
      <c r="F90" s="14" t="s">
        <v>9</v>
      </c>
    </row>
    <row r="91" spans="1:6" hidden="1">
      <c r="A91" s="14" t="s">
        <v>185</v>
      </c>
      <c r="B91" s="14" t="s">
        <v>285</v>
      </c>
      <c r="C91" s="9" t="s">
        <v>194</v>
      </c>
      <c r="D91" s="14" t="s">
        <v>191</v>
      </c>
      <c r="E91" s="22">
        <v>0</v>
      </c>
      <c r="F91" s="14" t="s">
        <v>9</v>
      </c>
    </row>
    <row r="92" spans="1:6" hidden="1">
      <c r="A92" s="14" t="s">
        <v>185</v>
      </c>
      <c r="B92" s="14" t="s">
        <v>286</v>
      </c>
      <c r="C92" s="9">
        <v>45755</v>
      </c>
      <c r="D92" s="14" t="s">
        <v>191</v>
      </c>
      <c r="E92" s="22">
        <v>0</v>
      </c>
      <c r="F92" s="14" t="s">
        <v>9</v>
      </c>
    </row>
    <row r="93" spans="1:6" hidden="1">
      <c r="A93" s="14" t="s">
        <v>185</v>
      </c>
      <c r="B93" s="14" t="s">
        <v>287</v>
      </c>
      <c r="C93" s="9">
        <v>45761</v>
      </c>
      <c r="D93" s="14" t="s">
        <v>191</v>
      </c>
      <c r="E93" s="22">
        <v>0</v>
      </c>
      <c r="F93" s="14" t="s">
        <v>9</v>
      </c>
    </row>
    <row r="94" spans="1:6" hidden="1">
      <c r="A94" s="14" t="s">
        <v>185</v>
      </c>
      <c r="B94" s="14" t="s">
        <v>288</v>
      </c>
      <c r="C94" s="9" t="s">
        <v>194</v>
      </c>
      <c r="D94" s="14" t="s">
        <v>191</v>
      </c>
      <c r="E94" s="22">
        <v>0</v>
      </c>
      <c r="F94" s="14" t="s">
        <v>9</v>
      </c>
    </row>
    <row r="95" spans="1:6" hidden="1">
      <c r="A95" s="14" t="s">
        <v>185</v>
      </c>
      <c r="B95" s="14" t="s">
        <v>289</v>
      </c>
      <c r="C95" s="9" t="s">
        <v>194</v>
      </c>
      <c r="D95" s="14" t="s">
        <v>191</v>
      </c>
      <c r="E95" s="22">
        <v>0</v>
      </c>
      <c r="F95" s="14" t="s">
        <v>9</v>
      </c>
    </row>
    <row r="96" spans="1:6" hidden="1">
      <c r="A96" s="14" t="s">
        <v>185</v>
      </c>
      <c r="B96" s="8" t="s">
        <v>190</v>
      </c>
      <c r="C96" s="9">
        <v>45776</v>
      </c>
      <c r="D96" s="13" t="s">
        <v>152</v>
      </c>
      <c r="E96" s="22">
        <v>0</v>
      </c>
      <c r="F96" s="11" t="s">
        <v>13</v>
      </c>
    </row>
    <row r="97" spans="1:6" hidden="1">
      <c r="A97" s="14" t="s">
        <v>185</v>
      </c>
      <c r="B97" s="8" t="s">
        <v>192</v>
      </c>
      <c r="C97" s="9">
        <v>45776</v>
      </c>
      <c r="D97" s="13" t="s">
        <v>152</v>
      </c>
      <c r="E97" s="22">
        <v>0</v>
      </c>
      <c r="F97" s="11" t="s">
        <v>13</v>
      </c>
    </row>
    <row r="98" spans="1:6" hidden="1">
      <c r="A98" s="14" t="s">
        <v>185</v>
      </c>
      <c r="B98" s="8" t="s">
        <v>196</v>
      </c>
      <c r="C98" s="9">
        <v>45776</v>
      </c>
      <c r="D98" s="18" t="s">
        <v>152</v>
      </c>
      <c r="E98" s="22">
        <v>0</v>
      </c>
      <c r="F98" s="11" t="s">
        <v>13</v>
      </c>
    </row>
    <row r="99" spans="1:6" hidden="1">
      <c r="A99" s="14" t="s">
        <v>185</v>
      </c>
      <c r="B99" s="8" t="s">
        <v>198</v>
      </c>
      <c r="C99" s="9">
        <v>45776</v>
      </c>
      <c r="D99" s="13" t="s">
        <v>152</v>
      </c>
      <c r="E99" s="22">
        <v>0</v>
      </c>
      <c r="F99" s="11" t="s">
        <v>13</v>
      </c>
    </row>
    <row r="100" spans="1:6" hidden="1">
      <c r="A100" s="14" t="s">
        <v>185</v>
      </c>
      <c r="B100" s="8" t="s">
        <v>199</v>
      </c>
      <c r="C100" s="9">
        <v>45776</v>
      </c>
      <c r="D100" s="13" t="s">
        <v>152</v>
      </c>
      <c r="E100" s="22">
        <v>0</v>
      </c>
      <c r="F100" s="11" t="s">
        <v>13</v>
      </c>
    </row>
    <row r="101" spans="1:6" hidden="1">
      <c r="A101" s="14" t="s">
        <v>185</v>
      </c>
      <c r="B101" s="8" t="s">
        <v>204</v>
      </c>
      <c r="C101" s="9">
        <v>45776</v>
      </c>
      <c r="D101" s="18" t="s">
        <v>195</v>
      </c>
      <c r="E101" s="22">
        <v>0</v>
      </c>
      <c r="F101" s="11" t="s">
        <v>9</v>
      </c>
    </row>
    <row r="102" spans="1:6" hidden="1">
      <c r="A102" s="14" t="s">
        <v>185</v>
      </c>
      <c r="B102" s="8" t="s">
        <v>205</v>
      </c>
      <c r="C102" s="9">
        <v>45776</v>
      </c>
      <c r="D102" s="13" t="s">
        <v>152</v>
      </c>
      <c r="E102" s="22">
        <v>0</v>
      </c>
      <c r="F102" s="11" t="s">
        <v>13</v>
      </c>
    </row>
    <row r="103" spans="1:6" hidden="1">
      <c r="A103" s="14" t="s">
        <v>185</v>
      </c>
      <c r="B103" s="8" t="s">
        <v>207</v>
      </c>
      <c r="C103" s="9">
        <v>45776</v>
      </c>
      <c r="D103" s="13" t="s">
        <v>152</v>
      </c>
      <c r="E103" s="22">
        <v>0</v>
      </c>
      <c r="F103" s="11" t="s">
        <v>13</v>
      </c>
    </row>
    <row r="104" spans="1:6" hidden="1">
      <c r="A104" s="14" t="s">
        <v>185</v>
      </c>
      <c r="B104" s="8" t="s">
        <v>211</v>
      </c>
      <c r="C104" s="9">
        <v>45776</v>
      </c>
      <c r="D104" s="18" t="s">
        <v>152</v>
      </c>
      <c r="E104" s="22">
        <v>0</v>
      </c>
      <c r="F104" s="11" t="s">
        <v>13</v>
      </c>
    </row>
    <row r="105" spans="1:6" hidden="1">
      <c r="A105" s="14" t="s">
        <v>185</v>
      </c>
      <c r="B105" s="8" t="s">
        <v>213</v>
      </c>
      <c r="C105" s="9">
        <v>45776</v>
      </c>
      <c r="D105" s="18" t="s">
        <v>152</v>
      </c>
      <c r="E105" s="22">
        <v>0</v>
      </c>
      <c r="F105" s="11" t="s">
        <v>13</v>
      </c>
    </row>
    <row r="106" spans="1:6" hidden="1">
      <c r="A106" s="14" t="s">
        <v>185</v>
      </c>
      <c r="B106" s="8" t="s">
        <v>214</v>
      </c>
      <c r="C106" s="9">
        <v>45776</v>
      </c>
      <c r="D106" s="18" t="s">
        <v>152</v>
      </c>
      <c r="E106" s="22">
        <v>0</v>
      </c>
      <c r="F106" s="11" t="s">
        <v>13</v>
      </c>
    </row>
    <row r="107" spans="1:6" hidden="1">
      <c r="A107" s="14" t="s">
        <v>185</v>
      </c>
      <c r="B107" s="8" t="s">
        <v>215</v>
      </c>
      <c r="C107" s="9">
        <v>45776</v>
      </c>
      <c r="D107" s="18" t="s">
        <v>152</v>
      </c>
      <c r="E107" s="22">
        <v>0</v>
      </c>
      <c r="F107" s="11" t="s">
        <v>13</v>
      </c>
    </row>
    <row r="108" spans="1:6" hidden="1">
      <c r="A108" s="14" t="s">
        <v>185</v>
      </c>
      <c r="B108" s="8" t="s">
        <v>216</v>
      </c>
      <c r="C108" s="9">
        <v>45776</v>
      </c>
      <c r="D108" s="18" t="s">
        <v>152</v>
      </c>
      <c r="E108" s="22">
        <v>0</v>
      </c>
      <c r="F108" s="11" t="s">
        <v>13</v>
      </c>
    </row>
    <row r="109" spans="1:6" hidden="1">
      <c r="A109" s="14" t="s">
        <v>185</v>
      </c>
      <c r="B109" s="8" t="s">
        <v>217</v>
      </c>
      <c r="C109" s="9">
        <v>45776</v>
      </c>
      <c r="D109" s="18" t="s">
        <v>152</v>
      </c>
      <c r="E109" s="22">
        <v>0</v>
      </c>
      <c r="F109" s="11" t="s">
        <v>13</v>
      </c>
    </row>
    <row r="110" spans="1:6" hidden="1">
      <c r="A110" s="14" t="s">
        <v>185</v>
      </c>
      <c r="B110" s="8" t="s">
        <v>218</v>
      </c>
      <c r="C110" s="9">
        <v>45776</v>
      </c>
      <c r="D110" s="18" t="s">
        <v>152</v>
      </c>
      <c r="E110" s="22">
        <v>0</v>
      </c>
      <c r="F110" s="11" t="s">
        <v>13</v>
      </c>
    </row>
    <row r="111" spans="1:6" hidden="1">
      <c r="A111" s="14" t="s">
        <v>185</v>
      </c>
      <c r="B111" s="8" t="s">
        <v>219</v>
      </c>
      <c r="C111" s="9">
        <v>45776</v>
      </c>
      <c r="D111" s="18" t="s">
        <v>152</v>
      </c>
      <c r="E111" s="22">
        <v>0</v>
      </c>
      <c r="F111" s="11" t="s">
        <v>13</v>
      </c>
    </row>
    <row r="112" spans="1:6" hidden="1">
      <c r="A112" s="14" t="s">
        <v>185</v>
      </c>
      <c r="B112" s="8" t="s">
        <v>222</v>
      </c>
      <c r="C112" s="9">
        <v>45776</v>
      </c>
      <c r="D112" s="18" t="s">
        <v>152</v>
      </c>
      <c r="E112" s="22">
        <v>0</v>
      </c>
      <c r="F112" s="11" t="s">
        <v>13</v>
      </c>
    </row>
    <row r="113" spans="1:6" hidden="1">
      <c r="A113" s="14" t="s">
        <v>185</v>
      </c>
      <c r="B113" s="8" t="s">
        <v>226</v>
      </c>
      <c r="C113" s="9">
        <v>45776</v>
      </c>
      <c r="D113" s="18" t="s">
        <v>152</v>
      </c>
      <c r="E113" s="22">
        <v>0</v>
      </c>
      <c r="F113" s="11" t="s">
        <v>13</v>
      </c>
    </row>
    <row r="114" spans="1:6" hidden="1">
      <c r="A114" s="14" t="s">
        <v>185</v>
      </c>
      <c r="B114" s="8" t="s">
        <v>230</v>
      </c>
      <c r="C114" s="9">
        <v>45776</v>
      </c>
      <c r="D114" s="18" t="s">
        <v>152</v>
      </c>
      <c r="E114" s="22">
        <v>0</v>
      </c>
      <c r="F114" s="11" t="s">
        <v>13</v>
      </c>
    </row>
    <row r="115" spans="1:6" hidden="1">
      <c r="A115" s="14" t="s">
        <v>185</v>
      </c>
      <c r="B115" s="8" t="s">
        <v>231</v>
      </c>
      <c r="C115" s="9">
        <v>45776</v>
      </c>
      <c r="D115" s="18" t="s">
        <v>152</v>
      </c>
      <c r="E115" s="22">
        <v>0</v>
      </c>
      <c r="F115" s="11" t="s">
        <v>13</v>
      </c>
    </row>
    <row r="116" spans="1:6" hidden="1">
      <c r="A116" s="14" t="s">
        <v>185</v>
      </c>
      <c r="B116" s="8" t="s">
        <v>233</v>
      </c>
      <c r="C116" s="9">
        <v>45776</v>
      </c>
      <c r="D116" s="18" t="s">
        <v>152</v>
      </c>
      <c r="E116" s="22">
        <v>0</v>
      </c>
      <c r="F116" s="11" t="s">
        <v>13</v>
      </c>
    </row>
    <row r="117" spans="1:6" hidden="1">
      <c r="A117" s="14" t="s">
        <v>185</v>
      </c>
      <c r="B117" s="8" t="s">
        <v>234</v>
      </c>
      <c r="C117" s="9">
        <v>45776</v>
      </c>
      <c r="D117" s="18" t="s">
        <v>152</v>
      </c>
      <c r="E117" s="22">
        <v>0</v>
      </c>
      <c r="F117" s="11" t="s">
        <v>13</v>
      </c>
    </row>
    <row r="118" spans="1:6" hidden="1">
      <c r="A118" s="14" t="s">
        <v>185</v>
      </c>
      <c r="B118" s="8" t="s">
        <v>235</v>
      </c>
      <c r="C118" s="9">
        <v>45776</v>
      </c>
      <c r="D118" s="18" t="s">
        <v>152</v>
      </c>
      <c r="E118" s="22">
        <v>0</v>
      </c>
      <c r="F118" s="11" t="s">
        <v>13</v>
      </c>
    </row>
    <row r="119" spans="1:6" hidden="1">
      <c r="A119" s="14" t="s">
        <v>185</v>
      </c>
      <c r="B119" s="8" t="s">
        <v>236</v>
      </c>
      <c r="C119" s="9">
        <v>45776</v>
      </c>
      <c r="D119" s="18" t="s">
        <v>152</v>
      </c>
      <c r="E119" s="22">
        <v>0</v>
      </c>
      <c r="F119" s="11" t="s">
        <v>13</v>
      </c>
    </row>
    <row r="120" spans="1:6" hidden="1">
      <c r="A120" s="14" t="s">
        <v>185</v>
      </c>
      <c r="B120" s="8" t="s">
        <v>238</v>
      </c>
      <c r="C120" s="9">
        <v>45776</v>
      </c>
      <c r="D120" s="18" t="s">
        <v>152</v>
      </c>
      <c r="E120" s="22">
        <v>0</v>
      </c>
      <c r="F120" s="11" t="s">
        <v>13</v>
      </c>
    </row>
    <row r="121" spans="1:6" hidden="1">
      <c r="A121" s="14" t="s">
        <v>185</v>
      </c>
      <c r="B121" s="8" t="s">
        <v>240</v>
      </c>
      <c r="C121" s="9">
        <v>45776</v>
      </c>
      <c r="D121" s="18" t="s">
        <v>152</v>
      </c>
      <c r="E121" s="22">
        <v>3000000</v>
      </c>
      <c r="F121" s="11" t="s">
        <v>13</v>
      </c>
    </row>
    <row r="122" spans="1:6" hidden="1">
      <c r="A122" s="14" t="s">
        <v>185</v>
      </c>
      <c r="B122" s="8" t="s">
        <v>243</v>
      </c>
      <c r="C122" s="9">
        <v>45776</v>
      </c>
      <c r="D122" s="18" t="s">
        <v>152</v>
      </c>
      <c r="E122" s="22">
        <v>0</v>
      </c>
      <c r="F122" s="11" t="s">
        <v>13</v>
      </c>
    </row>
    <row r="123" spans="1:6" hidden="1">
      <c r="A123" s="14" t="s">
        <v>185</v>
      </c>
      <c r="B123" s="8" t="s">
        <v>244</v>
      </c>
      <c r="C123" s="9">
        <v>45776</v>
      </c>
      <c r="D123" s="18" t="s">
        <v>152</v>
      </c>
      <c r="E123" s="22">
        <v>0</v>
      </c>
      <c r="F123" s="11" t="s">
        <v>13</v>
      </c>
    </row>
    <row r="124" spans="1:6" hidden="1">
      <c r="A124" s="14" t="s">
        <v>185</v>
      </c>
      <c r="B124" s="8" t="s">
        <v>245</v>
      </c>
      <c r="C124" s="9">
        <v>45776</v>
      </c>
      <c r="D124" s="13" t="s">
        <v>152</v>
      </c>
      <c r="E124" s="22">
        <v>0</v>
      </c>
      <c r="F124" s="11" t="s">
        <v>13</v>
      </c>
    </row>
    <row r="125" spans="1:6" hidden="1">
      <c r="A125" s="14" t="s">
        <v>185</v>
      </c>
      <c r="B125" s="8" t="s">
        <v>246</v>
      </c>
      <c r="C125" s="9">
        <v>45776</v>
      </c>
      <c r="D125" s="13" t="s">
        <v>152</v>
      </c>
      <c r="E125" s="22">
        <v>0</v>
      </c>
      <c r="F125" s="11" t="s">
        <v>13</v>
      </c>
    </row>
    <row r="126" spans="1:6" hidden="1">
      <c r="A126" s="14" t="s">
        <v>185</v>
      </c>
      <c r="B126" s="8" t="s">
        <v>247</v>
      </c>
      <c r="C126" s="9">
        <v>45776</v>
      </c>
      <c r="D126" s="13" t="s">
        <v>152</v>
      </c>
      <c r="E126" s="22">
        <v>0</v>
      </c>
      <c r="F126" s="11" t="s">
        <v>13</v>
      </c>
    </row>
    <row r="127" spans="1:6" hidden="1">
      <c r="A127" s="14" t="s">
        <v>185</v>
      </c>
      <c r="B127" s="8" t="s">
        <v>249</v>
      </c>
      <c r="C127" s="9">
        <v>45776</v>
      </c>
      <c r="D127" s="18" t="s">
        <v>152</v>
      </c>
      <c r="E127" s="22">
        <v>0</v>
      </c>
      <c r="F127" s="11" t="s">
        <v>13</v>
      </c>
    </row>
    <row r="128" spans="1:6" hidden="1">
      <c r="A128" s="14" t="s">
        <v>185</v>
      </c>
      <c r="B128" s="8" t="s">
        <v>250</v>
      </c>
      <c r="C128" s="9">
        <v>45776</v>
      </c>
      <c r="D128" s="13" t="s">
        <v>152</v>
      </c>
      <c r="E128" s="22">
        <v>0</v>
      </c>
      <c r="F128" s="11" t="s">
        <v>13</v>
      </c>
    </row>
    <row r="129" spans="1:6" hidden="1">
      <c r="A129" s="14" t="s">
        <v>185</v>
      </c>
      <c r="B129" s="8" t="s">
        <v>251</v>
      </c>
      <c r="C129" s="9">
        <v>45776</v>
      </c>
      <c r="D129" s="18" t="s">
        <v>152</v>
      </c>
      <c r="E129" s="22">
        <v>0</v>
      </c>
      <c r="F129" s="11" t="s">
        <v>13</v>
      </c>
    </row>
    <row r="130" spans="1:6" hidden="1">
      <c r="A130" s="14" t="s">
        <v>185</v>
      </c>
      <c r="B130" s="8" t="s">
        <v>252</v>
      </c>
      <c r="C130" s="9">
        <v>45776</v>
      </c>
      <c r="D130" s="13" t="s">
        <v>152</v>
      </c>
      <c r="E130" s="22">
        <v>0</v>
      </c>
      <c r="F130" s="11" t="s">
        <v>9</v>
      </c>
    </row>
    <row r="131" spans="1:6" hidden="1">
      <c r="A131" s="14" t="s">
        <v>185</v>
      </c>
      <c r="B131" s="8" t="s">
        <v>253</v>
      </c>
      <c r="C131" s="9">
        <v>45776</v>
      </c>
      <c r="D131" s="18" t="s">
        <v>152</v>
      </c>
      <c r="E131" s="22">
        <v>0</v>
      </c>
      <c r="F131" s="11" t="s">
        <v>13</v>
      </c>
    </row>
    <row r="132" spans="1:6" hidden="1">
      <c r="A132" s="14" t="s">
        <v>185</v>
      </c>
      <c r="B132" s="8" t="s">
        <v>254</v>
      </c>
      <c r="C132" s="9">
        <v>45776</v>
      </c>
      <c r="D132" s="18" t="s">
        <v>152</v>
      </c>
      <c r="E132" s="22">
        <v>0</v>
      </c>
      <c r="F132" s="11" t="s">
        <v>13</v>
      </c>
    </row>
    <row r="133" spans="1:6" hidden="1">
      <c r="A133" s="14" t="s">
        <v>185</v>
      </c>
      <c r="B133" s="8" t="s">
        <v>255</v>
      </c>
      <c r="C133" s="9">
        <v>45776</v>
      </c>
      <c r="D133" s="13" t="s">
        <v>152</v>
      </c>
      <c r="E133" s="22">
        <v>0</v>
      </c>
      <c r="F133" s="11" t="s">
        <v>13</v>
      </c>
    </row>
    <row r="134" spans="1:6" hidden="1">
      <c r="A134" s="14" t="s">
        <v>185</v>
      </c>
      <c r="B134" s="8" t="s">
        <v>256</v>
      </c>
      <c r="C134" s="9">
        <v>45776</v>
      </c>
      <c r="D134" s="13" t="s">
        <v>152</v>
      </c>
      <c r="E134" s="22">
        <v>0</v>
      </c>
      <c r="F134" s="11" t="s">
        <v>13</v>
      </c>
    </row>
    <row r="135" spans="1:6" hidden="1">
      <c r="A135" s="14" t="s">
        <v>185</v>
      </c>
      <c r="B135" s="8" t="s">
        <v>259</v>
      </c>
      <c r="C135" s="9">
        <v>45776</v>
      </c>
      <c r="D135" s="13" t="s">
        <v>152</v>
      </c>
      <c r="E135" s="22">
        <v>0</v>
      </c>
      <c r="F135" s="11" t="s">
        <v>13</v>
      </c>
    </row>
    <row r="136" spans="1:6" hidden="1">
      <c r="A136" s="14" t="s">
        <v>185</v>
      </c>
      <c r="B136" s="8" t="s">
        <v>261</v>
      </c>
      <c r="C136" s="9">
        <v>45776</v>
      </c>
      <c r="D136" s="13" t="s">
        <v>152</v>
      </c>
      <c r="E136" s="22">
        <v>0</v>
      </c>
      <c r="F136" s="11" t="s">
        <v>13</v>
      </c>
    </row>
    <row r="137" spans="1:6" hidden="1">
      <c r="A137" s="14" t="s">
        <v>185</v>
      </c>
      <c r="B137" s="8" t="s">
        <v>263</v>
      </c>
      <c r="C137" s="9">
        <v>45776</v>
      </c>
      <c r="D137" s="13" t="s">
        <v>152</v>
      </c>
      <c r="E137" s="22">
        <v>0</v>
      </c>
      <c r="F137" s="11" t="s">
        <v>9</v>
      </c>
    </row>
    <row r="138" spans="1:6" hidden="1">
      <c r="A138" s="14" t="s">
        <v>185</v>
      </c>
      <c r="B138" s="8" t="s">
        <v>264</v>
      </c>
      <c r="C138" s="9">
        <v>45776</v>
      </c>
      <c r="D138" s="13" t="s">
        <v>152</v>
      </c>
      <c r="E138" s="22">
        <v>0</v>
      </c>
      <c r="F138" s="11" t="s">
        <v>13</v>
      </c>
    </row>
    <row r="139" spans="1:6" hidden="1">
      <c r="A139" s="14" t="s">
        <v>185</v>
      </c>
      <c r="B139" s="8" t="s">
        <v>265</v>
      </c>
      <c r="C139" s="9">
        <v>45776</v>
      </c>
      <c r="D139" s="13" t="s">
        <v>152</v>
      </c>
      <c r="E139" s="22">
        <v>0</v>
      </c>
      <c r="F139" s="11" t="s">
        <v>27</v>
      </c>
    </row>
    <row r="140" spans="1:6" hidden="1">
      <c r="A140" s="14" t="s">
        <v>185</v>
      </c>
      <c r="B140" s="14" t="s">
        <v>269</v>
      </c>
      <c r="C140" s="9">
        <v>45776</v>
      </c>
      <c r="D140" s="14" t="s">
        <v>152</v>
      </c>
      <c r="E140" s="22">
        <v>0</v>
      </c>
      <c r="F140" s="14" t="s">
        <v>13</v>
      </c>
    </row>
    <row r="141" spans="1:6" hidden="1">
      <c r="A141" s="14" t="s">
        <v>185</v>
      </c>
      <c r="B141" s="14" t="s">
        <v>270</v>
      </c>
      <c r="C141" s="9">
        <v>45776</v>
      </c>
      <c r="D141" s="14" t="s">
        <v>152</v>
      </c>
      <c r="E141" s="22">
        <v>0</v>
      </c>
      <c r="F141" s="14" t="s">
        <v>13</v>
      </c>
    </row>
    <row r="142" spans="1:6" hidden="1">
      <c r="A142" s="14" t="s">
        <v>185</v>
      </c>
      <c r="B142" s="14" t="s">
        <v>271</v>
      </c>
      <c r="C142" s="9">
        <v>45776</v>
      </c>
      <c r="D142" s="14" t="s">
        <v>152</v>
      </c>
      <c r="E142" s="22">
        <v>0</v>
      </c>
      <c r="F142" s="14" t="s">
        <v>13</v>
      </c>
    </row>
    <row r="143" spans="1:6" hidden="1">
      <c r="A143" s="14" t="s">
        <v>185</v>
      </c>
      <c r="B143" s="14" t="s">
        <v>272</v>
      </c>
      <c r="C143" s="9">
        <v>45776</v>
      </c>
      <c r="D143" s="14" t="s">
        <v>152</v>
      </c>
      <c r="E143" s="22">
        <v>0</v>
      </c>
      <c r="F143" s="14" t="s">
        <v>13</v>
      </c>
    </row>
    <row r="144" spans="1:6" hidden="1">
      <c r="A144" s="14" t="s">
        <v>185</v>
      </c>
      <c r="B144" s="14" t="s">
        <v>273</v>
      </c>
      <c r="C144" s="9">
        <v>45776</v>
      </c>
      <c r="D144" s="14" t="s">
        <v>152</v>
      </c>
      <c r="E144" s="24">
        <v>300000</v>
      </c>
      <c r="F144" s="14" t="s">
        <v>13</v>
      </c>
    </row>
    <row r="145" spans="1:6" hidden="1">
      <c r="A145" s="14" t="s">
        <v>185</v>
      </c>
      <c r="B145" s="14" t="s">
        <v>275</v>
      </c>
      <c r="C145" s="9">
        <v>45776</v>
      </c>
      <c r="D145" s="14" t="s">
        <v>152</v>
      </c>
      <c r="E145" s="22">
        <v>0</v>
      </c>
      <c r="F145" s="14" t="s">
        <v>13</v>
      </c>
    </row>
    <row r="146" spans="1:6" hidden="1">
      <c r="A146" s="14" t="s">
        <v>185</v>
      </c>
      <c r="B146" s="14" t="s">
        <v>278</v>
      </c>
      <c r="C146" s="9">
        <v>45776</v>
      </c>
      <c r="D146" s="14" t="s">
        <v>290</v>
      </c>
      <c r="E146" s="24">
        <v>4000000</v>
      </c>
      <c r="F146" s="14" t="s">
        <v>11</v>
      </c>
    </row>
    <row r="147" spans="1:6" hidden="1">
      <c r="A147" s="14" t="s">
        <v>185</v>
      </c>
      <c r="B147" s="14" t="s">
        <v>280</v>
      </c>
      <c r="C147" s="9">
        <v>45776</v>
      </c>
      <c r="D147" s="14" t="s">
        <v>152</v>
      </c>
      <c r="E147" s="22">
        <v>0</v>
      </c>
      <c r="F147" s="14" t="s">
        <v>13</v>
      </c>
    </row>
    <row r="148" spans="1:6" hidden="1">
      <c r="A148" s="14" t="s">
        <v>185</v>
      </c>
      <c r="B148" s="14" t="s">
        <v>281</v>
      </c>
      <c r="C148" s="9">
        <v>45776</v>
      </c>
      <c r="D148" s="14" t="s">
        <v>152</v>
      </c>
      <c r="E148" s="22">
        <v>0</v>
      </c>
      <c r="F148" s="14" t="s">
        <v>13</v>
      </c>
    </row>
    <row r="149" spans="1:6" hidden="1">
      <c r="A149" s="14" t="s">
        <v>185</v>
      </c>
      <c r="B149" s="14" t="s">
        <v>286</v>
      </c>
      <c r="C149" s="9">
        <v>45776</v>
      </c>
      <c r="D149" s="14" t="s">
        <v>152</v>
      </c>
      <c r="E149" s="22">
        <v>0</v>
      </c>
      <c r="F149" s="14" t="s">
        <v>13</v>
      </c>
    </row>
    <row r="150" spans="1:6" hidden="1">
      <c r="A150" s="14" t="s">
        <v>185</v>
      </c>
      <c r="B150" s="14" t="s">
        <v>287</v>
      </c>
      <c r="C150" s="9">
        <v>45776</v>
      </c>
      <c r="D150" s="14" t="s">
        <v>152</v>
      </c>
      <c r="E150" s="22">
        <v>0</v>
      </c>
      <c r="F150" s="14" t="s">
        <v>13</v>
      </c>
    </row>
    <row r="151" spans="1:6" hidden="1">
      <c r="A151" s="14" t="s">
        <v>185</v>
      </c>
      <c r="B151" s="8" t="s">
        <v>220</v>
      </c>
      <c r="C151" s="9">
        <v>45778</v>
      </c>
      <c r="D151" s="13" t="s">
        <v>291</v>
      </c>
      <c r="E151" s="22">
        <v>0</v>
      </c>
      <c r="F151" s="11" t="s">
        <v>27</v>
      </c>
    </row>
    <row r="152" spans="1:6" hidden="1">
      <c r="A152" s="14" t="s">
        <v>185</v>
      </c>
      <c r="B152" s="14" t="s">
        <v>292</v>
      </c>
      <c r="C152" s="9">
        <v>45778</v>
      </c>
      <c r="D152" s="14" t="s">
        <v>293</v>
      </c>
      <c r="E152" s="22">
        <v>0</v>
      </c>
      <c r="F152" s="14" t="s">
        <v>9</v>
      </c>
    </row>
    <row r="153" spans="1:6" hidden="1">
      <c r="A153" s="14" t="s">
        <v>185</v>
      </c>
      <c r="B153" s="8" t="s">
        <v>242</v>
      </c>
      <c r="C153" s="9">
        <v>45778</v>
      </c>
      <c r="D153" s="18" t="s">
        <v>139</v>
      </c>
      <c r="E153" s="22">
        <v>0</v>
      </c>
      <c r="F153" s="11" t="s">
        <v>140</v>
      </c>
    </row>
    <row r="154" spans="1:6" hidden="1">
      <c r="A154" s="14" t="s">
        <v>185</v>
      </c>
      <c r="B154" s="8" t="s">
        <v>237</v>
      </c>
      <c r="C154" s="9">
        <v>45778</v>
      </c>
      <c r="D154" s="18" t="s">
        <v>191</v>
      </c>
      <c r="E154" s="22">
        <v>0</v>
      </c>
      <c r="F154" s="11" t="s">
        <v>9</v>
      </c>
    </row>
    <row r="155" spans="1:6">
      <c r="A155" s="14" t="s">
        <v>185</v>
      </c>
      <c r="B155" s="8" t="s">
        <v>237</v>
      </c>
      <c r="C155" s="9">
        <v>45779</v>
      </c>
      <c r="D155" s="18" t="s">
        <v>294</v>
      </c>
      <c r="E155" s="22">
        <v>0</v>
      </c>
      <c r="F155" s="11" t="s">
        <v>11</v>
      </c>
    </row>
    <row r="156" spans="1:6">
      <c r="A156" s="14" t="s">
        <v>185</v>
      </c>
      <c r="B156" s="8" t="s">
        <v>220</v>
      </c>
      <c r="C156" s="9">
        <v>45779</v>
      </c>
      <c r="D156" s="13" t="s">
        <v>294</v>
      </c>
      <c r="E156" s="22">
        <v>0</v>
      </c>
      <c r="F156" s="11" t="s">
        <v>11</v>
      </c>
    </row>
    <row r="157" spans="1:6" hidden="1">
      <c r="A157" s="14" t="s">
        <v>185</v>
      </c>
      <c r="B157" s="14" t="s">
        <v>295</v>
      </c>
      <c r="C157" s="9">
        <v>45782</v>
      </c>
      <c r="D157" s="18" t="s">
        <v>191</v>
      </c>
      <c r="E157" s="22">
        <v>0</v>
      </c>
      <c r="F157" s="11" t="s">
        <v>9</v>
      </c>
    </row>
    <row r="158" spans="1:6" hidden="1">
      <c r="A158" s="14" t="s">
        <v>185</v>
      </c>
      <c r="B158" s="14" t="s">
        <v>282</v>
      </c>
      <c r="C158" s="9">
        <v>45782</v>
      </c>
      <c r="D158" s="14" t="s">
        <v>191</v>
      </c>
      <c r="E158" s="22">
        <v>0</v>
      </c>
      <c r="F158" s="14" t="s">
        <v>9</v>
      </c>
    </row>
    <row r="159" spans="1:6">
      <c r="A159" s="14" t="s">
        <v>185</v>
      </c>
      <c r="B159" s="8" t="s">
        <v>237</v>
      </c>
      <c r="C159" s="9">
        <v>45782</v>
      </c>
      <c r="D159" s="18" t="s">
        <v>296</v>
      </c>
      <c r="E159" s="22">
        <v>0</v>
      </c>
      <c r="F159" s="11" t="s">
        <v>11</v>
      </c>
    </row>
    <row r="160" spans="1:6" hidden="1">
      <c r="A160" s="14" t="s">
        <v>185</v>
      </c>
      <c r="B160" s="8" t="s">
        <v>240</v>
      </c>
      <c r="C160" s="9">
        <v>45782</v>
      </c>
      <c r="D160" s="18" t="s">
        <v>297</v>
      </c>
      <c r="E160" s="22">
        <v>3000000</v>
      </c>
      <c r="F160" s="11" t="s">
        <v>13</v>
      </c>
    </row>
    <row r="161" spans="1:6" hidden="1">
      <c r="A161" s="14" t="s">
        <v>185</v>
      </c>
      <c r="B161" s="14" t="s">
        <v>298</v>
      </c>
      <c r="C161" s="9">
        <v>45782</v>
      </c>
      <c r="D161" s="14" t="s">
        <v>191</v>
      </c>
      <c r="E161" s="22">
        <v>0</v>
      </c>
      <c r="F161" s="14" t="s">
        <v>9</v>
      </c>
    </row>
    <row r="162" spans="1:6" hidden="1">
      <c r="A162" s="14" t="s">
        <v>185</v>
      </c>
      <c r="B162" s="14" t="s">
        <v>299</v>
      </c>
      <c r="C162" s="9">
        <v>45782</v>
      </c>
      <c r="D162" s="14" t="s">
        <v>191</v>
      </c>
      <c r="E162" s="22">
        <v>0</v>
      </c>
      <c r="F162" s="14" t="s">
        <v>9</v>
      </c>
    </row>
    <row r="163" spans="1:6" hidden="1">
      <c r="A163" s="14" t="s">
        <v>185</v>
      </c>
      <c r="B163" s="8" t="s">
        <v>242</v>
      </c>
      <c r="C163" s="9">
        <v>45780</v>
      </c>
      <c r="D163" s="18" t="s">
        <v>300</v>
      </c>
      <c r="E163" s="22">
        <v>0</v>
      </c>
      <c r="F163" s="11" t="s">
        <v>32</v>
      </c>
    </row>
    <row r="164" spans="1:6">
      <c r="A164" s="14" t="s">
        <v>185</v>
      </c>
      <c r="B164" s="14" t="s">
        <v>278</v>
      </c>
      <c r="C164" s="9">
        <v>45779</v>
      </c>
      <c r="D164" s="14" t="s">
        <v>301</v>
      </c>
      <c r="E164" s="24">
        <v>4000000</v>
      </c>
      <c r="F164" s="14" t="s">
        <v>11</v>
      </c>
    </row>
    <row r="165" spans="1:6">
      <c r="A165" s="14" t="s">
        <v>185</v>
      </c>
      <c r="B165" s="8" t="s">
        <v>186</v>
      </c>
      <c r="C165" s="9">
        <v>45782</v>
      </c>
      <c r="D165" s="18" t="s">
        <v>302</v>
      </c>
      <c r="E165" s="22">
        <v>1500000</v>
      </c>
      <c r="F165" s="11" t="s">
        <v>11</v>
      </c>
    </row>
    <row r="166" spans="1:6">
      <c r="A166" s="14" t="s">
        <v>185</v>
      </c>
      <c r="B166" s="8" t="s">
        <v>240</v>
      </c>
      <c r="C166" s="9">
        <v>45783</v>
      </c>
      <c r="D166" s="18" t="s">
        <v>303</v>
      </c>
      <c r="E166" s="22">
        <v>3000000</v>
      </c>
      <c r="F166" s="11" t="s">
        <v>11</v>
      </c>
    </row>
    <row r="167" spans="1:6">
      <c r="A167" s="14" t="s">
        <v>185</v>
      </c>
      <c r="B167" s="8" t="s">
        <v>186</v>
      </c>
      <c r="C167" s="9">
        <v>45784</v>
      </c>
      <c r="D167" s="18" t="s">
        <v>304</v>
      </c>
      <c r="E167" s="22">
        <v>1500000</v>
      </c>
      <c r="F167" s="11" t="s">
        <v>11</v>
      </c>
    </row>
    <row r="168" spans="1:6" hidden="1">
      <c r="A168" s="14" t="s">
        <v>185</v>
      </c>
      <c r="B168" s="8" t="s">
        <v>242</v>
      </c>
      <c r="C168" s="9">
        <v>45784</v>
      </c>
      <c r="D168" s="18" t="s">
        <v>305</v>
      </c>
      <c r="E168" s="22">
        <v>0</v>
      </c>
      <c r="F168" s="11" t="s">
        <v>32</v>
      </c>
    </row>
    <row r="169" spans="1:6" hidden="1">
      <c r="A169" s="14" t="s">
        <v>185</v>
      </c>
      <c r="B169" s="14" t="s">
        <v>306</v>
      </c>
      <c r="C169" s="9">
        <v>45784</v>
      </c>
      <c r="D169" s="14" t="s">
        <v>191</v>
      </c>
      <c r="E169" s="22">
        <v>0</v>
      </c>
      <c r="F169" s="14" t="s">
        <v>9</v>
      </c>
    </row>
    <row r="170" spans="1:6" hidden="1">
      <c r="A170" s="14" t="s">
        <v>185</v>
      </c>
      <c r="B170" s="14" t="s">
        <v>307</v>
      </c>
      <c r="C170" s="9">
        <v>45784</v>
      </c>
      <c r="D170" s="14" t="s">
        <v>191</v>
      </c>
      <c r="E170" s="22">
        <v>0</v>
      </c>
      <c r="F170" s="14" t="s">
        <v>9</v>
      </c>
    </row>
    <row r="171" spans="1:6" hidden="1">
      <c r="A171" s="14" t="s">
        <v>185</v>
      </c>
      <c r="B171" s="8" t="s">
        <v>230</v>
      </c>
      <c r="C171" s="9">
        <v>45786</v>
      </c>
      <c r="D171" s="18" t="s">
        <v>308</v>
      </c>
      <c r="E171" s="22">
        <v>0</v>
      </c>
      <c r="F171" s="11" t="s">
        <v>27</v>
      </c>
    </row>
    <row r="172" spans="1:6" hidden="1">
      <c r="A172" s="14" t="s">
        <v>185</v>
      </c>
      <c r="B172" s="8" t="s">
        <v>200</v>
      </c>
      <c r="C172" s="9">
        <v>45786</v>
      </c>
      <c r="D172" s="18" t="s">
        <v>309</v>
      </c>
      <c r="E172" s="22">
        <v>800000</v>
      </c>
      <c r="F172" s="11" t="s">
        <v>27</v>
      </c>
    </row>
    <row r="173" spans="1:6">
      <c r="A173" s="14" t="s">
        <v>185</v>
      </c>
      <c r="B173" s="8" t="s">
        <v>220</v>
      </c>
      <c r="C173" s="9">
        <v>45786</v>
      </c>
      <c r="D173" s="13" t="s">
        <v>310</v>
      </c>
      <c r="E173" s="22">
        <v>0</v>
      </c>
      <c r="F173" s="11" t="s">
        <v>11</v>
      </c>
    </row>
    <row r="174" spans="1:6">
      <c r="A174" s="14" t="s">
        <v>185</v>
      </c>
      <c r="B174" s="8" t="s">
        <v>209</v>
      </c>
      <c r="C174" s="9">
        <v>45782</v>
      </c>
      <c r="D174" s="18" t="s">
        <v>311</v>
      </c>
      <c r="E174" s="22">
        <v>1500000</v>
      </c>
      <c r="F174" s="11" t="s">
        <v>11</v>
      </c>
    </row>
    <row r="175" spans="1:6" hidden="1">
      <c r="A175" s="14" t="s">
        <v>185</v>
      </c>
      <c r="B175" s="8" t="s">
        <v>205</v>
      </c>
      <c r="C175" s="9">
        <v>45786</v>
      </c>
      <c r="D175" s="13" t="s">
        <v>312</v>
      </c>
      <c r="E175" s="22">
        <v>0</v>
      </c>
      <c r="F175" s="11" t="s">
        <v>27</v>
      </c>
    </row>
    <row r="176" spans="1:6">
      <c r="A176" s="14" t="s">
        <v>185</v>
      </c>
      <c r="B176" s="14" t="s">
        <v>278</v>
      </c>
      <c r="C176" s="9">
        <v>45786</v>
      </c>
      <c r="D176" s="14" t="s">
        <v>313</v>
      </c>
      <c r="E176" s="24">
        <v>4000000</v>
      </c>
      <c r="F176" s="14" t="s">
        <v>11</v>
      </c>
    </row>
    <row r="177" spans="1:6">
      <c r="A177" s="14" t="s">
        <v>185</v>
      </c>
      <c r="B177" s="14" t="s">
        <v>237</v>
      </c>
      <c r="C177" s="9">
        <v>45788</v>
      </c>
      <c r="D177" s="14" t="s">
        <v>314</v>
      </c>
      <c r="E177" s="24">
        <v>0</v>
      </c>
      <c r="F177" s="14" t="s">
        <v>11</v>
      </c>
    </row>
    <row r="178" spans="1:6">
      <c r="A178" s="14" t="s">
        <v>185</v>
      </c>
      <c r="B178" s="14" t="s">
        <v>186</v>
      </c>
      <c r="C178" s="9">
        <v>45786</v>
      </c>
      <c r="D178" s="14" t="s">
        <v>315</v>
      </c>
      <c r="E178" s="24">
        <v>1500000</v>
      </c>
      <c r="F178" s="14" t="s">
        <v>11</v>
      </c>
    </row>
    <row r="179" spans="1:6" hidden="1">
      <c r="A179" s="14" t="s">
        <v>185</v>
      </c>
      <c r="B179" s="14" t="s">
        <v>316</v>
      </c>
      <c r="C179" s="9">
        <v>45790</v>
      </c>
      <c r="D179" s="18" t="s">
        <v>191</v>
      </c>
      <c r="E179" s="22">
        <v>0</v>
      </c>
      <c r="F179" s="11" t="s">
        <v>9</v>
      </c>
    </row>
    <row r="180" spans="1:6" hidden="1">
      <c r="A180" s="14" t="s">
        <v>185</v>
      </c>
      <c r="B180" s="14" t="s">
        <v>252</v>
      </c>
      <c r="C180" s="9">
        <v>45790</v>
      </c>
      <c r="D180" s="18" t="s">
        <v>191</v>
      </c>
      <c r="E180" s="22">
        <v>0</v>
      </c>
      <c r="F180" s="11" t="s">
        <v>9</v>
      </c>
    </row>
    <row r="181" spans="1:6" hidden="1">
      <c r="A181" s="14" t="s">
        <v>185</v>
      </c>
      <c r="B181" s="8" t="s">
        <v>230</v>
      </c>
      <c r="C181" s="9">
        <v>45789</v>
      </c>
      <c r="D181" s="18" t="s">
        <v>317</v>
      </c>
      <c r="E181" s="22">
        <v>0</v>
      </c>
      <c r="F181" s="11" t="s">
        <v>27</v>
      </c>
    </row>
    <row r="182" spans="1:6" hidden="1">
      <c r="A182" s="14" t="s">
        <v>185</v>
      </c>
      <c r="B182" s="14" t="s">
        <v>186</v>
      </c>
      <c r="C182" s="9">
        <v>45789</v>
      </c>
      <c r="D182" s="14" t="s">
        <v>318</v>
      </c>
      <c r="E182" s="24">
        <v>1500000</v>
      </c>
      <c r="F182" s="14" t="s">
        <v>32</v>
      </c>
    </row>
    <row r="183" spans="1:6">
      <c r="A183" s="14" t="s">
        <v>185</v>
      </c>
      <c r="B183" s="14" t="s">
        <v>186</v>
      </c>
      <c r="C183" s="9">
        <v>45796</v>
      </c>
      <c r="D183" s="14" t="s">
        <v>319</v>
      </c>
      <c r="E183" s="24">
        <v>1500000</v>
      </c>
      <c r="F183" s="14" t="s">
        <v>11</v>
      </c>
    </row>
    <row r="184" spans="1:6" ht="11.25" hidden="1">
      <c r="A184" s="14" t="s">
        <v>185</v>
      </c>
      <c r="B184" s="14" t="s">
        <v>295</v>
      </c>
      <c r="C184" s="9">
        <v>45796</v>
      </c>
      <c r="D184" s="33" t="s">
        <v>320</v>
      </c>
      <c r="E184" s="34">
        <v>0</v>
      </c>
      <c r="F184" s="35" t="s">
        <v>9</v>
      </c>
    </row>
    <row r="185" spans="1:6" ht="11.25" hidden="1">
      <c r="A185" s="14" t="s">
        <v>185</v>
      </c>
      <c r="B185" s="36" t="s">
        <v>190</v>
      </c>
      <c r="C185" s="9">
        <v>45796</v>
      </c>
      <c r="D185" s="37" t="s">
        <v>321</v>
      </c>
      <c r="E185" s="34">
        <v>0</v>
      </c>
      <c r="F185" s="35" t="s">
        <v>9</v>
      </c>
    </row>
    <row r="186" spans="1:6" ht="11.25">
      <c r="A186" s="14" t="s">
        <v>185</v>
      </c>
      <c r="B186" s="36" t="s">
        <v>192</v>
      </c>
      <c r="C186" s="9">
        <v>45796</v>
      </c>
      <c r="D186" s="37" t="s">
        <v>322</v>
      </c>
      <c r="E186" s="34">
        <v>1500000</v>
      </c>
      <c r="F186" s="35" t="s">
        <v>11</v>
      </c>
    </row>
    <row r="187" spans="1:6" ht="11.25">
      <c r="A187" s="14" t="s">
        <v>185</v>
      </c>
      <c r="B187" s="36" t="s">
        <v>193</v>
      </c>
      <c r="C187" s="9">
        <v>45796</v>
      </c>
      <c r="D187" s="33" t="s">
        <v>323</v>
      </c>
      <c r="E187" s="34">
        <v>0</v>
      </c>
      <c r="F187" s="35" t="s">
        <v>11</v>
      </c>
    </row>
    <row r="188" spans="1:6" ht="11.25" hidden="1">
      <c r="A188" s="14" t="s">
        <v>185</v>
      </c>
      <c r="B188" s="36" t="s">
        <v>196</v>
      </c>
      <c r="C188" s="9">
        <v>45796</v>
      </c>
      <c r="D188" s="33" t="s">
        <v>324</v>
      </c>
      <c r="E188" s="34">
        <v>0</v>
      </c>
      <c r="F188" s="35" t="s">
        <v>27</v>
      </c>
    </row>
    <row r="189" spans="1:6" ht="11.25" hidden="1">
      <c r="A189" s="14" t="s">
        <v>185</v>
      </c>
      <c r="B189" s="36" t="s">
        <v>198</v>
      </c>
      <c r="C189" s="9">
        <v>45796</v>
      </c>
      <c r="D189" s="37" t="s">
        <v>325</v>
      </c>
      <c r="E189" s="34">
        <v>0</v>
      </c>
      <c r="F189" s="35" t="s">
        <v>13</v>
      </c>
    </row>
    <row r="190" spans="1:6" ht="11.25" hidden="1">
      <c r="A190" s="14" t="s">
        <v>185</v>
      </c>
      <c r="B190" s="36" t="s">
        <v>199</v>
      </c>
      <c r="C190" s="9">
        <v>45796</v>
      </c>
      <c r="D190" s="37" t="s">
        <v>326</v>
      </c>
      <c r="E190" s="34">
        <v>0</v>
      </c>
      <c r="F190" s="35" t="s">
        <v>13</v>
      </c>
    </row>
    <row r="191" spans="1:6" ht="11.25" hidden="1">
      <c r="A191" s="14" t="s">
        <v>185</v>
      </c>
      <c r="B191" s="36" t="s">
        <v>200</v>
      </c>
      <c r="C191" s="9">
        <v>45796</v>
      </c>
      <c r="D191" s="33" t="s">
        <v>327</v>
      </c>
      <c r="E191" s="34">
        <v>800000</v>
      </c>
      <c r="F191" s="35" t="s">
        <v>27</v>
      </c>
    </row>
    <row r="192" spans="1:6" ht="11.25">
      <c r="A192" s="14" t="s">
        <v>185</v>
      </c>
      <c r="B192" s="36" t="s">
        <v>204</v>
      </c>
      <c r="C192" s="9">
        <v>45796</v>
      </c>
      <c r="D192" s="33" t="s">
        <v>328</v>
      </c>
      <c r="E192" s="34">
        <v>0</v>
      </c>
      <c r="F192" s="35" t="s">
        <v>11</v>
      </c>
    </row>
    <row r="193" spans="1:6" ht="11.25">
      <c r="A193" s="14" t="s">
        <v>185</v>
      </c>
      <c r="B193" s="36" t="s">
        <v>205</v>
      </c>
      <c r="C193" s="9">
        <v>45796</v>
      </c>
      <c r="D193" s="37" t="s">
        <v>329</v>
      </c>
      <c r="E193" s="34">
        <v>0</v>
      </c>
      <c r="F193" s="35" t="s">
        <v>11</v>
      </c>
    </row>
    <row r="194" spans="1:6" ht="11.25">
      <c r="A194" s="14" t="s">
        <v>185</v>
      </c>
      <c r="B194" s="36" t="s">
        <v>207</v>
      </c>
      <c r="C194" s="9">
        <v>45796</v>
      </c>
      <c r="D194" s="37" t="s">
        <v>330</v>
      </c>
      <c r="E194" s="38">
        <v>1000000</v>
      </c>
      <c r="F194" s="35" t="s">
        <v>11</v>
      </c>
    </row>
    <row r="195" spans="1:6" ht="11.25">
      <c r="A195" s="30" t="s">
        <v>185</v>
      </c>
      <c r="B195" s="36" t="s">
        <v>209</v>
      </c>
      <c r="C195" s="31">
        <v>45796</v>
      </c>
      <c r="D195" s="33" t="s">
        <v>331</v>
      </c>
      <c r="E195" s="34">
        <v>1500000</v>
      </c>
      <c r="F195" s="35" t="s">
        <v>11</v>
      </c>
    </row>
    <row r="196" spans="1:6" ht="11.25" hidden="1">
      <c r="A196" s="30" t="s">
        <v>185</v>
      </c>
      <c r="B196" s="36" t="s">
        <v>211</v>
      </c>
      <c r="C196" s="31">
        <v>45796</v>
      </c>
      <c r="D196" s="33" t="s">
        <v>332</v>
      </c>
      <c r="E196" s="34">
        <v>0</v>
      </c>
      <c r="F196" s="35" t="s">
        <v>27</v>
      </c>
    </row>
    <row r="197" spans="1:6" ht="11.25" hidden="1">
      <c r="A197" s="30" t="s">
        <v>185</v>
      </c>
      <c r="B197" s="36" t="s">
        <v>213</v>
      </c>
      <c r="C197" s="31">
        <v>45796</v>
      </c>
      <c r="D197" s="33" t="s">
        <v>333</v>
      </c>
      <c r="E197" s="34">
        <v>0</v>
      </c>
      <c r="F197" s="35" t="s">
        <v>9</v>
      </c>
    </row>
    <row r="198" spans="1:6" ht="11.25" hidden="1">
      <c r="A198" s="30" t="s">
        <v>185</v>
      </c>
      <c r="B198" s="36" t="s">
        <v>214</v>
      </c>
      <c r="C198" s="31">
        <v>45796</v>
      </c>
      <c r="D198" s="33" t="s">
        <v>334</v>
      </c>
      <c r="E198" s="34">
        <v>0</v>
      </c>
      <c r="F198" s="35" t="s">
        <v>9</v>
      </c>
    </row>
    <row r="199" spans="1:6" ht="11.25" hidden="1">
      <c r="A199" s="30" t="s">
        <v>185</v>
      </c>
      <c r="B199" s="36" t="s">
        <v>215</v>
      </c>
      <c r="C199" s="31">
        <v>45796</v>
      </c>
      <c r="D199" s="33" t="s">
        <v>335</v>
      </c>
      <c r="E199" s="34">
        <v>0</v>
      </c>
      <c r="F199" s="35" t="s">
        <v>9</v>
      </c>
    </row>
    <row r="200" spans="1:6" ht="11.25" hidden="1">
      <c r="A200" s="30" t="s">
        <v>185</v>
      </c>
      <c r="B200" s="36" t="s">
        <v>216</v>
      </c>
      <c r="C200" s="31">
        <v>45796</v>
      </c>
      <c r="D200" s="33" t="s">
        <v>336</v>
      </c>
      <c r="E200" s="34">
        <v>0</v>
      </c>
      <c r="F200" s="35" t="s">
        <v>9</v>
      </c>
    </row>
    <row r="201" spans="1:6" ht="11.25" hidden="1">
      <c r="A201" s="30" t="s">
        <v>185</v>
      </c>
      <c r="B201" s="36" t="s">
        <v>217</v>
      </c>
      <c r="C201" s="31">
        <v>45796</v>
      </c>
      <c r="D201" s="33" t="s">
        <v>337</v>
      </c>
      <c r="E201" s="34">
        <v>0</v>
      </c>
      <c r="F201" s="35" t="s">
        <v>9</v>
      </c>
    </row>
    <row r="202" spans="1:6" ht="11.25" hidden="1">
      <c r="A202" s="30" t="s">
        <v>185</v>
      </c>
      <c r="B202" s="36" t="s">
        <v>218</v>
      </c>
      <c r="C202" s="31">
        <v>45796</v>
      </c>
      <c r="D202" s="33" t="s">
        <v>338</v>
      </c>
      <c r="E202" s="34">
        <v>0</v>
      </c>
      <c r="F202" s="35" t="s">
        <v>9</v>
      </c>
    </row>
    <row r="203" spans="1:6" ht="11.25" hidden="1">
      <c r="A203" s="30" t="s">
        <v>185</v>
      </c>
      <c r="B203" s="36" t="s">
        <v>219</v>
      </c>
      <c r="C203" s="31">
        <v>45796</v>
      </c>
      <c r="D203" s="33" t="s">
        <v>339</v>
      </c>
      <c r="E203" s="34">
        <v>0</v>
      </c>
      <c r="F203" s="35" t="s">
        <v>27</v>
      </c>
    </row>
    <row r="204" spans="1:6" ht="11.25">
      <c r="A204" s="30" t="s">
        <v>185</v>
      </c>
      <c r="B204" s="36" t="s">
        <v>220</v>
      </c>
      <c r="C204" s="31">
        <v>45796</v>
      </c>
      <c r="D204" s="37" t="s">
        <v>340</v>
      </c>
      <c r="E204" s="34">
        <v>1500000</v>
      </c>
      <c r="F204" s="35" t="s">
        <v>11</v>
      </c>
    </row>
    <row r="205" spans="1:6" ht="11.25" hidden="1">
      <c r="A205" s="30" t="s">
        <v>185</v>
      </c>
      <c r="B205" s="36" t="s">
        <v>222</v>
      </c>
      <c r="C205" s="31">
        <v>45796</v>
      </c>
      <c r="D205" s="33" t="s">
        <v>341</v>
      </c>
      <c r="E205" s="34">
        <v>0</v>
      </c>
      <c r="F205" s="35" t="s">
        <v>9</v>
      </c>
    </row>
    <row r="206" spans="1:6" ht="11.25" hidden="1">
      <c r="A206" s="30" t="s">
        <v>185</v>
      </c>
      <c r="B206" s="36" t="s">
        <v>223</v>
      </c>
      <c r="C206" s="31" t="s">
        <v>342</v>
      </c>
      <c r="D206" s="33" t="s">
        <v>343</v>
      </c>
      <c r="E206" s="34">
        <v>0</v>
      </c>
      <c r="F206" s="35" t="s">
        <v>9</v>
      </c>
    </row>
    <row r="207" spans="1:6" ht="11.25" hidden="1">
      <c r="A207" s="30" t="s">
        <v>185</v>
      </c>
      <c r="B207" s="30" t="s">
        <v>298</v>
      </c>
      <c r="C207" s="31">
        <v>45796</v>
      </c>
      <c r="D207" s="30" t="s">
        <v>344</v>
      </c>
      <c r="E207" s="34">
        <v>0</v>
      </c>
      <c r="F207" s="30" t="s">
        <v>9</v>
      </c>
    </row>
    <row r="208" spans="1:6" ht="11.25" hidden="1">
      <c r="A208" s="30" t="s">
        <v>185</v>
      </c>
      <c r="B208" s="36" t="s">
        <v>224</v>
      </c>
      <c r="C208" s="31" t="s">
        <v>342</v>
      </c>
      <c r="D208" s="33" t="s">
        <v>345</v>
      </c>
      <c r="E208" s="34">
        <v>0</v>
      </c>
      <c r="F208" s="35" t="s">
        <v>9</v>
      </c>
    </row>
    <row r="209" spans="1:6" ht="11.25" hidden="1">
      <c r="A209" s="30" t="s">
        <v>185</v>
      </c>
      <c r="B209" s="36" t="s">
        <v>225</v>
      </c>
      <c r="C209" s="31" t="s">
        <v>342</v>
      </c>
      <c r="D209" s="33" t="s">
        <v>346</v>
      </c>
      <c r="E209" s="34">
        <v>0</v>
      </c>
      <c r="F209" s="35" t="s">
        <v>9</v>
      </c>
    </row>
    <row r="210" spans="1:6" ht="11.25" hidden="1">
      <c r="A210" s="30" t="s">
        <v>185</v>
      </c>
      <c r="B210" s="36" t="s">
        <v>226</v>
      </c>
      <c r="C210" s="31">
        <v>45796</v>
      </c>
      <c r="D210" s="33" t="s">
        <v>347</v>
      </c>
      <c r="E210" s="34">
        <v>0</v>
      </c>
      <c r="F210" s="35" t="s">
        <v>9</v>
      </c>
    </row>
    <row r="211" spans="1:6" ht="11.25" hidden="1">
      <c r="A211" s="30" t="s">
        <v>185</v>
      </c>
      <c r="B211" s="36" t="s">
        <v>227</v>
      </c>
      <c r="C211" s="31" t="s">
        <v>342</v>
      </c>
      <c r="D211" s="30" t="s">
        <v>348</v>
      </c>
      <c r="E211" s="34">
        <v>0</v>
      </c>
      <c r="F211" s="35" t="s">
        <v>32</v>
      </c>
    </row>
    <row r="212" spans="1:6" ht="11.25" hidden="1">
      <c r="A212" s="30" t="s">
        <v>185</v>
      </c>
      <c r="B212" s="36" t="s">
        <v>229</v>
      </c>
      <c r="C212" s="31">
        <v>45796</v>
      </c>
      <c r="D212" s="33" t="s">
        <v>349</v>
      </c>
      <c r="E212" s="34">
        <v>0</v>
      </c>
      <c r="F212" s="35" t="s">
        <v>9</v>
      </c>
    </row>
    <row r="213" spans="1:6" ht="11.25" hidden="1">
      <c r="A213" s="30" t="s">
        <v>185</v>
      </c>
      <c r="B213" s="36" t="s">
        <v>230</v>
      </c>
      <c r="C213" s="31">
        <v>45796</v>
      </c>
      <c r="D213" s="33" t="s">
        <v>350</v>
      </c>
      <c r="E213" s="34">
        <v>0</v>
      </c>
      <c r="F213" s="35" t="s">
        <v>27</v>
      </c>
    </row>
    <row r="214" spans="1:6" ht="11.25" hidden="1">
      <c r="A214" s="30" t="s">
        <v>185</v>
      </c>
      <c r="B214" s="36" t="s">
        <v>231</v>
      </c>
      <c r="C214" s="31">
        <v>45796</v>
      </c>
      <c r="D214" s="33" t="s">
        <v>349</v>
      </c>
      <c r="E214" s="34">
        <v>0</v>
      </c>
      <c r="F214" s="35" t="s">
        <v>9</v>
      </c>
    </row>
    <row r="215" spans="1:6" ht="11.25" hidden="1">
      <c r="A215" s="30" t="s">
        <v>185</v>
      </c>
      <c r="B215" s="36" t="s">
        <v>232</v>
      </c>
      <c r="C215" s="31">
        <v>45796</v>
      </c>
      <c r="D215" s="33" t="s">
        <v>346</v>
      </c>
      <c r="E215" s="34">
        <v>0</v>
      </c>
      <c r="F215" s="35" t="s">
        <v>9</v>
      </c>
    </row>
    <row r="216" spans="1:6" ht="11.25" hidden="1">
      <c r="A216" s="30" t="s">
        <v>185</v>
      </c>
      <c r="B216" s="36" t="s">
        <v>233</v>
      </c>
      <c r="C216" s="31">
        <v>45796</v>
      </c>
      <c r="D216" s="33" t="s">
        <v>351</v>
      </c>
      <c r="E216" s="34">
        <v>0</v>
      </c>
      <c r="F216" s="35" t="s">
        <v>9</v>
      </c>
    </row>
    <row r="217" spans="1:6" ht="11.25" hidden="1">
      <c r="A217" s="30" t="s">
        <v>185</v>
      </c>
      <c r="B217" s="36" t="s">
        <v>234</v>
      </c>
      <c r="C217" s="31">
        <v>45796</v>
      </c>
      <c r="D217" s="33" t="s">
        <v>347</v>
      </c>
      <c r="E217" s="34">
        <v>0</v>
      </c>
      <c r="F217" s="35" t="s">
        <v>9</v>
      </c>
    </row>
    <row r="218" spans="1:6" ht="11.25" hidden="1">
      <c r="A218" s="30" t="s">
        <v>185</v>
      </c>
      <c r="B218" s="36" t="s">
        <v>235</v>
      </c>
      <c r="C218" s="31">
        <v>45796</v>
      </c>
      <c r="D218" s="33" t="s">
        <v>352</v>
      </c>
      <c r="E218" s="34">
        <v>0</v>
      </c>
      <c r="F218" s="35" t="s">
        <v>9</v>
      </c>
    </row>
    <row r="219" spans="1:6" ht="11.25" hidden="1">
      <c r="A219" s="30" t="s">
        <v>185</v>
      </c>
      <c r="B219" s="36" t="s">
        <v>236</v>
      </c>
      <c r="C219" s="31">
        <v>45796</v>
      </c>
      <c r="D219" s="33" t="s">
        <v>353</v>
      </c>
      <c r="E219" s="34">
        <v>0</v>
      </c>
      <c r="F219" s="35" t="s">
        <v>9</v>
      </c>
    </row>
    <row r="220" spans="1:6" ht="11.25">
      <c r="A220" s="30" t="s">
        <v>185</v>
      </c>
      <c r="B220" s="30" t="s">
        <v>237</v>
      </c>
      <c r="C220" s="31">
        <v>45796</v>
      </c>
      <c r="D220" s="30" t="s">
        <v>354</v>
      </c>
      <c r="E220" s="32">
        <v>1500000</v>
      </c>
      <c r="F220" s="30" t="s">
        <v>11</v>
      </c>
    </row>
    <row r="221" spans="1:6" ht="11.25" hidden="1">
      <c r="A221" s="30" t="s">
        <v>185</v>
      </c>
      <c r="B221" s="36" t="s">
        <v>238</v>
      </c>
      <c r="C221" s="31">
        <v>45796</v>
      </c>
      <c r="D221" s="33" t="s">
        <v>355</v>
      </c>
      <c r="E221" s="34">
        <v>0</v>
      </c>
      <c r="F221" s="35" t="s">
        <v>27</v>
      </c>
    </row>
    <row r="222" spans="1:6" ht="11.25" hidden="1">
      <c r="A222" s="30" t="s">
        <v>185</v>
      </c>
      <c r="B222" s="36" t="s">
        <v>240</v>
      </c>
      <c r="C222" s="31">
        <v>45796</v>
      </c>
      <c r="D222" s="33" t="s">
        <v>356</v>
      </c>
      <c r="E222" s="34">
        <v>3000000</v>
      </c>
      <c r="F222" s="35" t="s">
        <v>27</v>
      </c>
    </row>
    <row r="223" spans="1:6" ht="11.25" hidden="1">
      <c r="A223" s="30" t="s">
        <v>185</v>
      </c>
      <c r="B223" s="36" t="s">
        <v>241</v>
      </c>
      <c r="C223" s="31" t="s">
        <v>342</v>
      </c>
      <c r="D223" s="33" t="s">
        <v>357</v>
      </c>
      <c r="E223" s="34">
        <v>0</v>
      </c>
      <c r="F223" s="35" t="s">
        <v>27</v>
      </c>
    </row>
    <row r="224" spans="1:6" ht="11.25">
      <c r="A224" s="30" t="s">
        <v>185</v>
      </c>
      <c r="B224" s="36" t="s">
        <v>243</v>
      </c>
      <c r="C224" s="31">
        <v>45796</v>
      </c>
      <c r="D224" s="33" t="s">
        <v>358</v>
      </c>
      <c r="E224" s="34">
        <v>2000000</v>
      </c>
      <c r="F224" s="35" t="s">
        <v>11</v>
      </c>
    </row>
    <row r="225" spans="1:6" ht="11.25" hidden="1">
      <c r="A225" s="30" t="s">
        <v>185</v>
      </c>
      <c r="B225" s="36" t="s">
        <v>244</v>
      </c>
      <c r="C225" s="31">
        <v>45796</v>
      </c>
      <c r="D225" s="33" t="s">
        <v>349</v>
      </c>
      <c r="E225" s="34">
        <v>0</v>
      </c>
      <c r="F225" s="35" t="s">
        <v>9</v>
      </c>
    </row>
    <row r="226" spans="1:6" ht="11.25" hidden="1">
      <c r="A226" s="30" t="s">
        <v>185</v>
      </c>
      <c r="B226" s="36" t="s">
        <v>245</v>
      </c>
      <c r="C226" s="31">
        <v>45796</v>
      </c>
      <c r="D226" s="37" t="s">
        <v>349</v>
      </c>
      <c r="E226" s="34">
        <v>0</v>
      </c>
      <c r="F226" s="35" t="s">
        <v>9</v>
      </c>
    </row>
    <row r="227" spans="1:6" ht="11.25" hidden="1">
      <c r="A227" s="30" t="s">
        <v>185</v>
      </c>
      <c r="B227" s="36" t="s">
        <v>246</v>
      </c>
      <c r="C227" s="31">
        <v>45796</v>
      </c>
      <c r="D227" s="37" t="s">
        <v>349</v>
      </c>
      <c r="E227" s="34">
        <v>0</v>
      </c>
      <c r="F227" s="35" t="s">
        <v>9</v>
      </c>
    </row>
    <row r="228" spans="1:6" ht="11.25" hidden="1">
      <c r="A228" s="30" t="s">
        <v>185</v>
      </c>
      <c r="B228" s="36" t="s">
        <v>247</v>
      </c>
      <c r="C228" s="31">
        <v>45796</v>
      </c>
      <c r="D228" s="37" t="s">
        <v>349</v>
      </c>
      <c r="E228" s="34">
        <v>0</v>
      </c>
      <c r="F228" s="35" t="s">
        <v>9</v>
      </c>
    </row>
    <row r="229" spans="1:6" ht="11.25" hidden="1">
      <c r="A229" s="30" t="s">
        <v>185</v>
      </c>
      <c r="B229" s="36" t="s">
        <v>248</v>
      </c>
      <c r="C229" s="31" t="s">
        <v>342</v>
      </c>
      <c r="D229" s="37" t="s">
        <v>351</v>
      </c>
      <c r="E229" s="34">
        <v>0</v>
      </c>
      <c r="F229" s="35" t="s">
        <v>9</v>
      </c>
    </row>
    <row r="230" spans="1:6" ht="11.25" hidden="1">
      <c r="A230" s="30" t="s">
        <v>185</v>
      </c>
      <c r="B230" s="36" t="s">
        <v>249</v>
      </c>
      <c r="C230" s="31">
        <v>45796</v>
      </c>
      <c r="D230" s="33" t="s">
        <v>359</v>
      </c>
      <c r="E230" s="34">
        <v>0</v>
      </c>
      <c r="F230" s="35" t="s">
        <v>9</v>
      </c>
    </row>
    <row r="231" spans="1:6" ht="11.25" hidden="1">
      <c r="A231" s="30" t="s">
        <v>185</v>
      </c>
      <c r="B231" s="36" t="s">
        <v>250</v>
      </c>
      <c r="C231" s="31">
        <v>45796</v>
      </c>
      <c r="D231" s="37" t="s">
        <v>349</v>
      </c>
      <c r="E231" s="34">
        <v>0</v>
      </c>
      <c r="F231" s="35" t="s">
        <v>9</v>
      </c>
    </row>
    <row r="232" spans="1:6" ht="11.25" hidden="1">
      <c r="A232" s="30" t="s">
        <v>185</v>
      </c>
      <c r="B232" s="36" t="s">
        <v>251</v>
      </c>
      <c r="C232" s="31">
        <v>45796</v>
      </c>
      <c r="D232" s="33" t="s">
        <v>349</v>
      </c>
      <c r="E232" s="34">
        <v>0</v>
      </c>
      <c r="F232" s="35" t="s">
        <v>9</v>
      </c>
    </row>
    <row r="233" spans="1:6" ht="11.25" hidden="1">
      <c r="A233" s="30" t="s">
        <v>185</v>
      </c>
      <c r="B233" s="36" t="s">
        <v>252</v>
      </c>
      <c r="C233" s="31">
        <v>45996</v>
      </c>
      <c r="D233" s="37" t="s">
        <v>360</v>
      </c>
      <c r="E233" s="34">
        <v>0</v>
      </c>
      <c r="F233" s="35" t="s">
        <v>9</v>
      </c>
    </row>
    <row r="234" spans="1:6" ht="11.25" hidden="1">
      <c r="A234" s="30" t="s">
        <v>185</v>
      </c>
      <c r="B234" s="36" t="s">
        <v>253</v>
      </c>
      <c r="C234" s="31">
        <v>45796</v>
      </c>
      <c r="D234" s="33" t="s">
        <v>347</v>
      </c>
      <c r="E234" s="34">
        <v>0</v>
      </c>
      <c r="F234" s="35" t="s">
        <v>9</v>
      </c>
    </row>
    <row r="235" spans="1:6" ht="11.25" hidden="1">
      <c r="A235" s="30" t="s">
        <v>185</v>
      </c>
      <c r="B235" s="36" t="s">
        <v>254</v>
      </c>
      <c r="C235" s="31">
        <v>45796</v>
      </c>
      <c r="D235" s="33" t="s">
        <v>347</v>
      </c>
      <c r="E235" s="34">
        <v>0</v>
      </c>
      <c r="F235" s="35" t="s">
        <v>9</v>
      </c>
    </row>
    <row r="236" spans="1:6" ht="11.25" hidden="1">
      <c r="A236" s="30" t="s">
        <v>185</v>
      </c>
      <c r="B236" s="36" t="s">
        <v>255</v>
      </c>
      <c r="C236" s="31">
        <v>45796</v>
      </c>
      <c r="D236" s="37" t="s">
        <v>361</v>
      </c>
      <c r="E236" s="34">
        <v>0</v>
      </c>
      <c r="F236" s="35" t="s">
        <v>9</v>
      </c>
    </row>
    <row r="237" spans="1:6" ht="11.25" hidden="1">
      <c r="A237" s="30" t="s">
        <v>185</v>
      </c>
      <c r="B237" s="30" t="s">
        <v>316</v>
      </c>
      <c r="C237" s="31">
        <v>45796</v>
      </c>
      <c r="D237" s="33" t="s">
        <v>362</v>
      </c>
      <c r="E237" s="34">
        <v>0</v>
      </c>
      <c r="F237" s="35" t="s">
        <v>9</v>
      </c>
    </row>
    <row r="238" spans="1:6" ht="11.25" hidden="1">
      <c r="A238" s="30" t="s">
        <v>185</v>
      </c>
      <c r="B238" s="36" t="s">
        <v>256</v>
      </c>
      <c r="C238" s="31">
        <v>45796</v>
      </c>
      <c r="D238" s="37" t="s">
        <v>363</v>
      </c>
      <c r="E238" s="34">
        <v>0</v>
      </c>
      <c r="F238" s="35" t="s">
        <v>13</v>
      </c>
    </row>
    <row r="239" spans="1:6" ht="11.25" hidden="1">
      <c r="A239" s="30" t="s">
        <v>185</v>
      </c>
      <c r="B239" s="30" t="s">
        <v>292</v>
      </c>
      <c r="C239" s="31">
        <v>45796</v>
      </c>
      <c r="D239" s="30" t="s">
        <v>364</v>
      </c>
      <c r="E239" s="34">
        <v>0</v>
      </c>
      <c r="F239" s="30" t="s">
        <v>9</v>
      </c>
    </row>
    <row r="240" spans="1:6" ht="11.25">
      <c r="A240" s="30" t="s">
        <v>185</v>
      </c>
      <c r="B240" s="36" t="s">
        <v>257</v>
      </c>
      <c r="C240" s="31">
        <v>45796</v>
      </c>
      <c r="D240" s="37" t="s">
        <v>365</v>
      </c>
      <c r="E240" s="34">
        <v>0</v>
      </c>
      <c r="F240" s="35" t="s">
        <v>11</v>
      </c>
    </row>
    <row r="241" spans="1:6" ht="11.25" hidden="1">
      <c r="A241" s="30" t="s">
        <v>185</v>
      </c>
      <c r="B241" s="36" t="s">
        <v>259</v>
      </c>
      <c r="C241" s="31">
        <v>45796</v>
      </c>
      <c r="D241" s="37" t="s">
        <v>366</v>
      </c>
      <c r="E241" s="34">
        <v>0</v>
      </c>
      <c r="F241" s="35" t="s">
        <v>27</v>
      </c>
    </row>
    <row r="242" spans="1:6" ht="11.25" hidden="1">
      <c r="A242" s="30" t="s">
        <v>185</v>
      </c>
      <c r="B242" s="36" t="s">
        <v>261</v>
      </c>
      <c r="C242" s="31">
        <v>45796</v>
      </c>
      <c r="D242" s="37" t="s">
        <v>367</v>
      </c>
      <c r="E242" s="34">
        <v>0</v>
      </c>
      <c r="F242" s="35" t="s">
        <v>27</v>
      </c>
    </row>
    <row r="243" spans="1:6" ht="11.25" hidden="1">
      <c r="A243" s="30" t="s">
        <v>185</v>
      </c>
      <c r="B243" s="36" t="s">
        <v>263</v>
      </c>
      <c r="C243" s="31">
        <v>45796</v>
      </c>
      <c r="D243" s="37" t="s">
        <v>347</v>
      </c>
      <c r="E243" s="34">
        <v>0</v>
      </c>
      <c r="F243" s="35" t="s">
        <v>9</v>
      </c>
    </row>
    <row r="244" spans="1:6" ht="11.25" hidden="1">
      <c r="A244" s="30" t="s">
        <v>185</v>
      </c>
      <c r="B244" s="36" t="s">
        <v>264</v>
      </c>
      <c r="C244" s="31">
        <v>45796</v>
      </c>
      <c r="D244" s="37" t="s">
        <v>368</v>
      </c>
      <c r="E244" s="34">
        <v>0</v>
      </c>
      <c r="F244" s="35" t="s">
        <v>9</v>
      </c>
    </row>
    <row r="245" spans="1:6" ht="11.25" hidden="1">
      <c r="A245" s="30" t="s">
        <v>185</v>
      </c>
      <c r="B245" s="36" t="s">
        <v>265</v>
      </c>
      <c r="C245" s="31">
        <v>45796</v>
      </c>
      <c r="D245" s="37" t="s">
        <v>369</v>
      </c>
      <c r="E245" s="34">
        <v>0</v>
      </c>
      <c r="F245" s="35" t="s">
        <v>9</v>
      </c>
    </row>
    <row r="246" spans="1:6" ht="11.25" hidden="1">
      <c r="A246" s="30" t="s">
        <v>185</v>
      </c>
      <c r="B246" s="36" t="s">
        <v>267</v>
      </c>
      <c r="C246" s="31" t="s">
        <v>342</v>
      </c>
      <c r="D246" s="37" t="s">
        <v>351</v>
      </c>
      <c r="E246" s="34">
        <v>0</v>
      </c>
      <c r="F246" s="35" t="s">
        <v>9</v>
      </c>
    </row>
    <row r="247" spans="1:6" ht="11.25" hidden="1">
      <c r="A247" s="30" t="s">
        <v>185</v>
      </c>
      <c r="B247" s="30" t="s">
        <v>299</v>
      </c>
      <c r="C247" s="31">
        <v>45796</v>
      </c>
      <c r="D247" s="30" t="s">
        <v>370</v>
      </c>
      <c r="E247" s="34">
        <v>0</v>
      </c>
      <c r="F247" s="30" t="s">
        <v>9</v>
      </c>
    </row>
    <row r="248" spans="1:6" ht="11.25" hidden="1">
      <c r="A248" s="30" t="s">
        <v>185</v>
      </c>
      <c r="B248" s="36" t="s">
        <v>268</v>
      </c>
      <c r="C248" s="31" t="s">
        <v>342</v>
      </c>
      <c r="D248" s="37" t="s">
        <v>371</v>
      </c>
      <c r="E248" s="34">
        <v>0</v>
      </c>
      <c r="F248" s="35" t="s">
        <v>27</v>
      </c>
    </row>
    <row r="249" spans="1:6" ht="11.25" hidden="1">
      <c r="A249" s="30" t="s">
        <v>185</v>
      </c>
      <c r="B249" s="30" t="s">
        <v>269</v>
      </c>
      <c r="C249" s="31">
        <v>45796</v>
      </c>
      <c r="D249" s="30" t="s">
        <v>351</v>
      </c>
      <c r="E249" s="34">
        <v>0</v>
      </c>
      <c r="F249" s="30" t="s">
        <v>9</v>
      </c>
    </row>
    <row r="250" spans="1:6" ht="11.25" hidden="1">
      <c r="A250" s="30" t="s">
        <v>185</v>
      </c>
      <c r="B250" s="30" t="s">
        <v>270</v>
      </c>
      <c r="C250" s="31">
        <v>45796</v>
      </c>
      <c r="D250" s="30" t="s">
        <v>347</v>
      </c>
      <c r="E250" s="34">
        <v>0</v>
      </c>
      <c r="F250" s="30" t="s">
        <v>9</v>
      </c>
    </row>
    <row r="251" spans="1:6" ht="11.25" hidden="1">
      <c r="A251" s="30" t="s">
        <v>185</v>
      </c>
      <c r="B251" s="30" t="s">
        <v>271</v>
      </c>
      <c r="C251" s="31">
        <v>45796</v>
      </c>
      <c r="D251" s="30" t="s">
        <v>372</v>
      </c>
      <c r="E251" s="34">
        <v>0</v>
      </c>
      <c r="F251" s="30" t="s">
        <v>9</v>
      </c>
    </row>
    <row r="252" spans="1:6" ht="11.25" hidden="1">
      <c r="A252" s="30" t="s">
        <v>185</v>
      </c>
      <c r="B252" s="30" t="s">
        <v>272</v>
      </c>
      <c r="C252" s="31">
        <v>45796</v>
      </c>
      <c r="D252" s="30" t="s">
        <v>346</v>
      </c>
      <c r="E252" s="34">
        <v>0</v>
      </c>
      <c r="F252" s="30" t="s">
        <v>9</v>
      </c>
    </row>
    <row r="253" spans="1:6" ht="11.25">
      <c r="A253" s="30" t="s">
        <v>185</v>
      </c>
      <c r="B253" s="30" t="s">
        <v>273</v>
      </c>
      <c r="C253" s="31">
        <v>45796</v>
      </c>
      <c r="D253" s="30" t="s">
        <v>373</v>
      </c>
      <c r="E253" s="32">
        <v>300000</v>
      </c>
      <c r="F253" s="30" t="s">
        <v>11</v>
      </c>
    </row>
    <row r="254" spans="1:6" ht="11.25" hidden="1">
      <c r="A254" s="30" t="s">
        <v>185</v>
      </c>
      <c r="B254" s="30" t="s">
        <v>274</v>
      </c>
      <c r="C254" s="31" t="s">
        <v>342</v>
      </c>
      <c r="D254" s="30" t="s">
        <v>346</v>
      </c>
      <c r="E254" s="34">
        <v>0</v>
      </c>
      <c r="F254" s="30" t="s">
        <v>9</v>
      </c>
    </row>
    <row r="255" spans="1:6" ht="11.25" hidden="1">
      <c r="A255" s="30" t="s">
        <v>185</v>
      </c>
      <c r="B255" s="30" t="s">
        <v>275</v>
      </c>
      <c r="C255" s="31">
        <v>45796</v>
      </c>
      <c r="D255" s="30" t="s">
        <v>374</v>
      </c>
      <c r="E255" s="34">
        <v>0</v>
      </c>
      <c r="F255" s="30" t="s">
        <v>9</v>
      </c>
    </row>
    <row r="256" spans="1:6" ht="11.25" hidden="1">
      <c r="A256" s="30" t="s">
        <v>185</v>
      </c>
      <c r="B256" s="30" t="s">
        <v>306</v>
      </c>
      <c r="C256" s="31">
        <v>45796</v>
      </c>
      <c r="D256" s="30" t="s">
        <v>347</v>
      </c>
      <c r="E256" s="34">
        <v>0</v>
      </c>
      <c r="F256" s="30" t="s">
        <v>9</v>
      </c>
    </row>
    <row r="257" spans="1:6" ht="11.25" hidden="1">
      <c r="A257" s="30" t="s">
        <v>185</v>
      </c>
      <c r="B257" s="30" t="s">
        <v>276</v>
      </c>
      <c r="C257" s="31" t="s">
        <v>342</v>
      </c>
      <c r="D257" s="30" t="s">
        <v>375</v>
      </c>
      <c r="E257" s="34">
        <v>0</v>
      </c>
      <c r="F257" s="30" t="s">
        <v>9</v>
      </c>
    </row>
    <row r="258" spans="1:6" ht="11.25" hidden="1">
      <c r="A258" s="30" t="s">
        <v>185</v>
      </c>
      <c r="B258" s="30" t="s">
        <v>277</v>
      </c>
      <c r="C258" s="31">
        <v>45796</v>
      </c>
      <c r="D258" s="30" t="s">
        <v>376</v>
      </c>
      <c r="E258" s="34">
        <v>0</v>
      </c>
      <c r="F258" s="30" t="s">
        <v>9</v>
      </c>
    </row>
    <row r="259" spans="1:6" ht="11.25">
      <c r="A259" s="30" t="s">
        <v>185</v>
      </c>
      <c r="B259" s="30" t="s">
        <v>278</v>
      </c>
      <c r="C259" s="31">
        <v>45796</v>
      </c>
      <c r="D259" s="30" t="s">
        <v>377</v>
      </c>
      <c r="E259" s="32">
        <v>4000000</v>
      </c>
      <c r="F259" s="30" t="s">
        <v>11</v>
      </c>
    </row>
    <row r="260" spans="1:6" ht="11.25" hidden="1">
      <c r="A260" s="30" t="s">
        <v>185</v>
      </c>
      <c r="B260" s="30" t="s">
        <v>280</v>
      </c>
      <c r="C260" s="31">
        <v>45796</v>
      </c>
      <c r="D260" s="30" t="s">
        <v>378</v>
      </c>
      <c r="E260" s="34">
        <v>0</v>
      </c>
      <c r="F260" s="30" t="s">
        <v>9</v>
      </c>
    </row>
    <row r="261" spans="1:6" ht="11.25" hidden="1">
      <c r="A261" s="30" t="s">
        <v>185</v>
      </c>
      <c r="B261" s="30" t="s">
        <v>281</v>
      </c>
      <c r="C261" s="31">
        <v>45796</v>
      </c>
      <c r="D261" s="30" t="s">
        <v>346</v>
      </c>
      <c r="E261" s="34">
        <v>0</v>
      </c>
      <c r="F261" s="30" t="s">
        <v>9</v>
      </c>
    </row>
    <row r="262" spans="1:6" ht="11.25" hidden="1">
      <c r="A262" s="30" t="s">
        <v>185</v>
      </c>
      <c r="B262" s="30" t="s">
        <v>282</v>
      </c>
      <c r="C262" s="31" t="s">
        <v>342</v>
      </c>
      <c r="D262" s="30" t="s">
        <v>347</v>
      </c>
      <c r="E262" s="34">
        <v>0</v>
      </c>
      <c r="F262" s="30" t="s">
        <v>9</v>
      </c>
    </row>
    <row r="263" spans="1:6" ht="11.25" hidden="1">
      <c r="A263" s="30" t="s">
        <v>185</v>
      </c>
      <c r="B263" s="30" t="s">
        <v>283</v>
      </c>
      <c r="C263" s="31" t="s">
        <v>342</v>
      </c>
      <c r="D263" s="30" t="s">
        <v>376</v>
      </c>
      <c r="E263" s="34">
        <v>0</v>
      </c>
      <c r="F263" s="30" t="s">
        <v>9</v>
      </c>
    </row>
    <row r="264" spans="1:6" ht="11.25" hidden="1">
      <c r="A264" s="30" t="s">
        <v>185</v>
      </c>
      <c r="B264" s="30" t="s">
        <v>284</v>
      </c>
      <c r="C264" s="31" t="s">
        <v>342</v>
      </c>
      <c r="D264" s="30" t="s">
        <v>347</v>
      </c>
      <c r="E264" s="34">
        <v>0</v>
      </c>
      <c r="F264" s="30" t="s">
        <v>9</v>
      </c>
    </row>
    <row r="265" spans="1:6">
      <c r="A265" s="30" t="s">
        <v>185</v>
      </c>
      <c r="B265" s="30" t="s">
        <v>285</v>
      </c>
      <c r="C265" s="31" t="s">
        <v>342</v>
      </c>
      <c r="D265" s="30" t="s">
        <v>379</v>
      </c>
      <c r="E265" s="34">
        <v>0</v>
      </c>
      <c r="F265" s="30" t="s">
        <v>11</v>
      </c>
    </row>
    <row r="266" spans="1:6" ht="11.25" hidden="1">
      <c r="A266" s="30" t="s">
        <v>185</v>
      </c>
      <c r="B266" s="30" t="s">
        <v>286</v>
      </c>
      <c r="C266" s="31">
        <v>45796</v>
      </c>
      <c r="D266" s="30" t="s">
        <v>346</v>
      </c>
      <c r="E266" s="34">
        <v>0</v>
      </c>
      <c r="F266" s="30" t="s">
        <v>9</v>
      </c>
    </row>
    <row r="267" spans="1:6" ht="11.25" hidden="1">
      <c r="A267" s="30" t="s">
        <v>185</v>
      </c>
      <c r="B267" s="30" t="s">
        <v>287</v>
      </c>
      <c r="C267" s="31">
        <v>45796</v>
      </c>
      <c r="D267" s="30" t="s">
        <v>347</v>
      </c>
      <c r="E267" s="34">
        <v>0</v>
      </c>
      <c r="F267" s="30" t="s">
        <v>9</v>
      </c>
    </row>
    <row r="268" spans="1:6" ht="11.25" hidden="1">
      <c r="A268" s="30" t="s">
        <v>185</v>
      </c>
      <c r="B268" s="30" t="s">
        <v>288</v>
      </c>
      <c r="C268" s="31" t="s">
        <v>342</v>
      </c>
      <c r="D268" s="30" t="s">
        <v>380</v>
      </c>
      <c r="E268" s="34">
        <v>0</v>
      </c>
      <c r="F268" s="30" t="s">
        <v>9</v>
      </c>
    </row>
    <row r="269" spans="1:6" ht="11.25" hidden="1">
      <c r="A269" s="30" t="s">
        <v>185</v>
      </c>
      <c r="B269" s="30" t="s">
        <v>307</v>
      </c>
      <c r="C269" s="31">
        <v>45796</v>
      </c>
      <c r="D269" s="30" t="s">
        <v>346</v>
      </c>
      <c r="E269" s="34">
        <v>0</v>
      </c>
      <c r="F269" s="30" t="s">
        <v>9</v>
      </c>
    </row>
    <row r="270" spans="1:6" ht="11.25" hidden="1">
      <c r="A270" s="30" t="s">
        <v>185</v>
      </c>
      <c r="B270" s="30" t="s">
        <v>289</v>
      </c>
      <c r="C270" s="31" t="s">
        <v>342</v>
      </c>
      <c r="D270" s="37" t="s">
        <v>371</v>
      </c>
      <c r="E270" s="34">
        <v>0</v>
      </c>
      <c r="F270" s="30" t="s">
        <v>9</v>
      </c>
    </row>
    <row r="271" spans="1:6" hidden="1">
      <c r="A271" s="30" t="s">
        <v>185</v>
      </c>
      <c r="B271" s="30" t="s">
        <v>381</v>
      </c>
      <c r="C271" s="31">
        <v>45796</v>
      </c>
      <c r="D271" s="30" t="s">
        <v>382</v>
      </c>
      <c r="E271" s="34">
        <v>0</v>
      </c>
      <c r="F271" s="30" t="s">
        <v>9</v>
      </c>
    </row>
    <row r="272" spans="1:6" ht="11.25" hidden="1">
      <c r="A272" s="30" t="s">
        <v>185</v>
      </c>
      <c r="B272" s="30" t="s">
        <v>383</v>
      </c>
      <c r="C272" s="31">
        <v>45796</v>
      </c>
      <c r="D272" s="30" t="s">
        <v>382</v>
      </c>
      <c r="E272" s="34">
        <v>0</v>
      </c>
      <c r="F272" s="30" t="s">
        <v>9</v>
      </c>
    </row>
    <row r="273" spans="1:6" ht="11.25" hidden="1">
      <c r="A273" s="30" t="s">
        <v>185</v>
      </c>
      <c r="B273" s="30" t="s">
        <v>384</v>
      </c>
      <c r="C273" s="31">
        <v>45796</v>
      </c>
      <c r="D273" s="30" t="s">
        <v>382</v>
      </c>
      <c r="E273" s="34">
        <v>0</v>
      </c>
      <c r="F273" s="30" t="s">
        <v>9</v>
      </c>
    </row>
    <row r="274" spans="1:6" ht="11.25" hidden="1">
      <c r="A274" s="30" t="s">
        <v>185</v>
      </c>
      <c r="B274" s="30" t="s">
        <v>385</v>
      </c>
      <c r="C274" s="31">
        <v>45796</v>
      </c>
      <c r="D274" s="30" t="s">
        <v>382</v>
      </c>
      <c r="E274" s="34">
        <v>0</v>
      </c>
      <c r="F274" s="30" t="s">
        <v>9</v>
      </c>
    </row>
    <row r="275" spans="1:6" ht="11.25" hidden="1">
      <c r="A275" s="30" t="s">
        <v>185</v>
      </c>
      <c r="B275" s="30" t="s">
        <v>386</v>
      </c>
      <c r="C275" s="31">
        <v>45796</v>
      </c>
      <c r="D275" s="30" t="s">
        <v>382</v>
      </c>
      <c r="E275" s="34">
        <v>0</v>
      </c>
      <c r="F275" s="30" t="s">
        <v>9</v>
      </c>
    </row>
    <row r="276" spans="1:6" ht="11.25" hidden="1">
      <c r="A276" s="30" t="s">
        <v>185</v>
      </c>
      <c r="B276" s="30" t="s">
        <v>387</v>
      </c>
      <c r="C276" s="31">
        <v>45796</v>
      </c>
      <c r="D276" s="30" t="s">
        <v>382</v>
      </c>
      <c r="E276" s="34">
        <v>0</v>
      </c>
      <c r="F276" s="30" t="s">
        <v>9</v>
      </c>
    </row>
    <row r="277" spans="1:6" ht="11.25" hidden="1">
      <c r="A277" s="30" t="s">
        <v>185</v>
      </c>
      <c r="B277" s="30" t="s">
        <v>388</v>
      </c>
      <c r="C277" s="31">
        <v>45796</v>
      </c>
      <c r="D277" s="30" t="s">
        <v>382</v>
      </c>
      <c r="E277" s="34">
        <v>0</v>
      </c>
      <c r="F277" s="30" t="s">
        <v>9</v>
      </c>
    </row>
    <row r="278" spans="1:6" ht="11.25" hidden="1">
      <c r="A278" s="30" t="s">
        <v>185</v>
      </c>
      <c r="B278" s="30" t="s">
        <v>389</v>
      </c>
      <c r="C278" s="31">
        <v>45796</v>
      </c>
      <c r="D278" s="30" t="s">
        <v>382</v>
      </c>
      <c r="E278" s="34">
        <v>0</v>
      </c>
      <c r="F278" s="30" t="s">
        <v>9</v>
      </c>
    </row>
    <row r="279" spans="1:6" ht="11.25" hidden="1">
      <c r="A279" s="30" t="s">
        <v>185</v>
      </c>
      <c r="B279" s="30" t="s">
        <v>390</v>
      </c>
      <c r="C279" s="31">
        <v>45796</v>
      </c>
      <c r="D279" s="30" t="s">
        <v>382</v>
      </c>
      <c r="E279" s="34">
        <v>0</v>
      </c>
      <c r="F279" s="30" t="s">
        <v>9</v>
      </c>
    </row>
    <row r="280" spans="1:6" ht="11.25" hidden="1">
      <c r="A280" s="30" t="s">
        <v>185</v>
      </c>
      <c r="B280" s="30" t="s">
        <v>391</v>
      </c>
      <c r="C280" s="31">
        <v>45796</v>
      </c>
      <c r="D280" s="30" t="s">
        <v>382</v>
      </c>
      <c r="E280" s="34">
        <v>0</v>
      </c>
      <c r="F280" s="30" t="s">
        <v>9</v>
      </c>
    </row>
    <row r="281" spans="1:6" ht="11.25" hidden="1">
      <c r="A281" s="30" t="s">
        <v>185</v>
      </c>
      <c r="B281" s="30" t="s">
        <v>392</v>
      </c>
      <c r="C281" s="31">
        <v>45796</v>
      </c>
      <c r="D281" s="30" t="s">
        <v>382</v>
      </c>
      <c r="E281" s="34">
        <v>0</v>
      </c>
      <c r="F281" s="30" t="s">
        <v>9</v>
      </c>
    </row>
    <row r="282" spans="1:6" ht="11.25" hidden="1">
      <c r="A282" s="30" t="s">
        <v>185</v>
      </c>
      <c r="B282" s="30" t="s">
        <v>393</v>
      </c>
      <c r="C282" s="31">
        <v>45796</v>
      </c>
      <c r="D282" s="30" t="s">
        <v>382</v>
      </c>
      <c r="E282" s="34">
        <v>0</v>
      </c>
      <c r="F282" s="30" t="s">
        <v>9</v>
      </c>
    </row>
    <row r="283" spans="1:6" ht="11.25" hidden="1">
      <c r="A283" s="30" t="s">
        <v>185</v>
      </c>
      <c r="B283" s="30" t="s">
        <v>394</v>
      </c>
      <c r="C283" s="31">
        <v>45796</v>
      </c>
      <c r="D283" s="30" t="s">
        <v>382</v>
      </c>
      <c r="E283" s="34">
        <v>0</v>
      </c>
      <c r="F283" s="30" t="s">
        <v>9</v>
      </c>
    </row>
    <row r="284" spans="1:6" ht="11.25" hidden="1">
      <c r="A284" s="30" t="s">
        <v>185</v>
      </c>
      <c r="B284" s="30" t="s">
        <v>395</v>
      </c>
      <c r="C284" s="31">
        <v>45796</v>
      </c>
      <c r="D284" s="30" t="s">
        <v>382</v>
      </c>
      <c r="E284" s="34">
        <v>0</v>
      </c>
      <c r="F284" s="30" t="s">
        <v>9</v>
      </c>
    </row>
    <row r="285" spans="1:6">
      <c r="A285" s="30"/>
      <c r="B285" s="30"/>
      <c r="C285" s="31"/>
      <c r="D285" s="30"/>
      <c r="E285" s="32"/>
      <c r="F285" s="30"/>
    </row>
    <row r="286" spans="1:6">
      <c r="A286" s="30"/>
      <c r="B286" s="30"/>
      <c r="C286" s="31"/>
      <c r="D286" s="30"/>
      <c r="E286" s="32"/>
      <c r="F286" s="30"/>
    </row>
    <row r="287" spans="1:6">
      <c r="A287" s="30"/>
      <c r="B287" s="30"/>
      <c r="C287" s="31"/>
      <c r="D287" s="30"/>
      <c r="E287" s="32"/>
      <c r="F287" s="30"/>
    </row>
    <row r="288" spans="1:6">
      <c r="A288" s="30"/>
      <c r="B288" s="30"/>
      <c r="C288" s="31"/>
      <c r="D288" s="30"/>
      <c r="E288" s="32"/>
      <c r="F288" s="30"/>
    </row>
    <row r="289" spans="1:6">
      <c r="A289" s="30"/>
      <c r="B289" s="30"/>
      <c r="C289" s="31"/>
      <c r="D289" s="30"/>
      <c r="E289" s="32"/>
      <c r="F289" s="30"/>
    </row>
    <row r="290" spans="1:6">
      <c r="A290" s="30"/>
      <c r="B290" s="30"/>
      <c r="C290" s="31"/>
      <c r="D290" s="30"/>
      <c r="E290" s="32"/>
      <c r="F290" s="30"/>
    </row>
    <row r="291" spans="1:6">
      <c r="A291" s="30"/>
      <c r="B291" s="30"/>
      <c r="C291" s="31"/>
      <c r="D291" s="30"/>
      <c r="E291" s="32"/>
      <c r="F291" s="30"/>
    </row>
    <row r="292" spans="1:6">
      <c r="A292" s="30"/>
      <c r="B292" s="30"/>
      <c r="C292" s="31"/>
      <c r="D292" s="30"/>
      <c r="E292" s="32"/>
      <c r="F292" s="30"/>
    </row>
    <row r="293" spans="1:6">
      <c r="A293" s="30"/>
      <c r="B293" s="30"/>
      <c r="C293" s="31"/>
      <c r="D293" s="30"/>
      <c r="E293" s="32"/>
      <c r="F293" s="30"/>
    </row>
    <row r="294" spans="1:6">
      <c r="A294" s="30"/>
      <c r="B294" s="30"/>
      <c r="C294" s="31"/>
      <c r="D294" s="30"/>
      <c r="E294" s="32"/>
      <c r="F294" s="30"/>
    </row>
    <row r="295" spans="1:6">
      <c r="A295" s="30"/>
      <c r="B295" s="30"/>
      <c r="C295" s="31"/>
      <c r="D295" s="30"/>
      <c r="E295" s="32"/>
      <c r="F295" s="30"/>
    </row>
    <row r="296" spans="1:6">
      <c r="A296" s="30"/>
      <c r="B296" s="30"/>
      <c r="C296" s="31"/>
      <c r="D296" s="30"/>
      <c r="E296" s="32"/>
      <c r="F296" s="30"/>
    </row>
    <row r="297" spans="1:6">
      <c r="A297" s="30"/>
      <c r="B297" s="30"/>
      <c r="C297" s="31"/>
      <c r="D297" s="30"/>
      <c r="E297" s="32"/>
      <c r="F297" s="30"/>
    </row>
    <row r="298" spans="1:6">
      <c r="A298" s="30"/>
      <c r="B298" s="30"/>
      <c r="C298" s="31"/>
      <c r="D298" s="30"/>
      <c r="E298" s="32"/>
      <c r="F298" s="30"/>
    </row>
    <row r="299" spans="1:6">
      <c r="A299" s="30"/>
      <c r="B299" s="30"/>
      <c r="C299" s="31"/>
      <c r="D299" s="30"/>
      <c r="E299" s="32"/>
      <c r="F299" s="30"/>
    </row>
    <row r="300" spans="1:6">
      <c r="A300" s="30"/>
      <c r="B300" s="30"/>
      <c r="C300" s="31"/>
      <c r="D300" s="30"/>
      <c r="E300" s="32"/>
      <c r="F300" s="30"/>
    </row>
    <row r="301" spans="1:6">
      <c r="A301" s="30"/>
      <c r="B301" s="30"/>
      <c r="C301" s="31"/>
      <c r="D301" s="30"/>
      <c r="E301" s="32"/>
      <c r="F301" s="30"/>
    </row>
    <row r="302" spans="1:6">
      <c r="A302" s="30"/>
      <c r="B302" s="30"/>
      <c r="C302" s="31"/>
      <c r="D302" s="30"/>
      <c r="E302" s="32"/>
      <c r="F302" s="30"/>
    </row>
    <row r="303" spans="1:6">
      <c r="A303" s="30"/>
      <c r="B303" s="30"/>
      <c r="C303" s="31"/>
      <c r="D303" s="30"/>
      <c r="E303" s="32"/>
      <c r="F303" s="30"/>
    </row>
    <row r="304" spans="1:6">
      <c r="A304" s="30"/>
      <c r="B304" s="30"/>
      <c r="C304" s="31"/>
      <c r="D304" s="30"/>
      <c r="E304" s="32"/>
      <c r="F304" s="30"/>
    </row>
    <row r="305" spans="1:6">
      <c r="A305" s="30"/>
      <c r="B305" s="30"/>
      <c r="C305" s="31"/>
      <c r="D305" s="30"/>
      <c r="E305" s="32"/>
      <c r="F305" s="30"/>
    </row>
    <row r="306" spans="1:6">
      <c r="A306" s="30"/>
      <c r="B306" s="30"/>
      <c r="C306" s="31"/>
      <c r="D306" s="30"/>
      <c r="E306" s="32"/>
      <c r="F306" s="30"/>
    </row>
    <row r="307" spans="1:6">
      <c r="A307" s="30"/>
      <c r="B307" s="30"/>
      <c r="C307" s="31"/>
      <c r="D307" s="30"/>
      <c r="E307" s="32"/>
      <c r="F307" s="30"/>
    </row>
    <row r="308" spans="1:6">
      <c r="A308" s="30"/>
      <c r="B308" s="30"/>
      <c r="C308" s="31"/>
      <c r="D308" s="30"/>
      <c r="E308" s="32"/>
      <c r="F308" s="30"/>
    </row>
    <row r="309" spans="1:6">
      <c r="A309" s="30"/>
      <c r="B309" s="30"/>
      <c r="C309" s="31"/>
      <c r="D309" s="30"/>
      <c r="E309" s="32"/>
      <c r="F309" s="30"/>
    </row>
    <row r="310" spans="1:6">
      <c r="A310" s="30"/>
      <c r="B310" s="30"/>
      <c r="C310" s="31"/>
      <c r="D310" s="30"/>
      <c r="E310" s="32"/>
      <c r="F310" s="30"/>
    </row>
    <row r="311" spans="1:6">
      <c r="A311" s="30"/>
      <c r="B311" s="30"/>
      <c r="C311" s="31"/>
      <c r="D311" s="30"/>
      <c r="E311" s="32"/>
      <c r="F311" s="30"/>
    </row>
    <row r="312" spans="1:6">
      <c r="A312" s="30"/>
      <c r="B312" s="30"/>
      <c r="C312" s="31"/>
      <c r="D312" s="30"/>
      <c r="E312" s="32"/>
      <c r="F312" s="30"/>
    </row>
    <row r="313" spans="1:6">
      <c r="A313" s="30"/>
      <c r="B313" s="30"/>
      <c r="C313" s="31"/>
      <c r="D313" s="30"/>
      <c r="E313" s="32"/>
      <c r="F313" s="30"/>
    </row>
    <row r="314" spans="1:6">
      <c r="A314" s="30"/>
      <c r="B314" s="30"/>
      <c r="C314" s="31"/>
      <c r="D314" s="30"/>
      <c r="E314" s="32"/>
      <c r="F314" s="30"/>
    </row>
    <row r="315" spans="1:6">
      <c r="A315" s="30"/>
      <c r="B315" s="30"/>
      <c r="C315" s="31"/>
      <c r="D315" s="30"/>
      <c r="E315" s="32"/>
      <c r="F315" s="30"/>
    </row>
    <row r="316" spans="1:6">
      <c r="A316" s="30"/>
      <c r="B316" s="30"/>
      <c r="C316" s="31"/>
      <c r="D316" s="30"/>
      <c r="E316" s="32"/>
      <c r="F316" s="30"/>
    </row>
    <row r="317" spans="1:6">
      <c r="A317" s="30"/>
      <c r="B317" s="30"/>
      <c r="C317" s="31"/>
      <c r="D317" s="30"/>
      <c r="E317" s="32"/>
      <c r="F317" s="30"/>
    </row>
    <row r="318" spans="1:6">
      <c r="A318" s="30"/>
      <c r="B318" s="30"/>
      <c r="C318" s="31"/>
      <c r="D318" s="30"/>
      <c r="E318" s="32"/>
      <c r="F318" s="30"/>
    </row>
    <row r="319" spans="1:6">
      <c r="A319" s="30"/>
      <c r="B319" s="30"/>
      <c r="C319" s="31"/>
      <c r="D319" s="30"/>
      <c r="E319" s="32"/>
      <c r="F319" s="30"/>
    </row>
    <row r="320" spans="1:6">
      <c r="A320" s="30"/>
      <c r="B320" s="30"/>
      <c r="C320" s="31"/>
      <c r="D320" s="30"/>
      <c r="E320" s="32"/>
      <c r="F320" s="30"/>
    </row>
    <row r="321" spans="1:6">
      <c r="A321" s="30"/>
      <c r="B321" s="30"/>
      <c r="C321" s="31"/>
      <c r="D321" s="30"/>
      <c r="E321" s="32"/>
      <c r="F321" s="30"/>
    </row>
    <row r="322" spans="1:6">
      <c r="A322" s="30"/>
      <c r="B322" s="30"/>
      <c r="C322" s="31"/>
      <c r="D322" s="30"/>
      <c r="E322" s="32"/>
      <c r="F322" s="30"/>
    </row>
    <row r="323" spans="1:6">
      <c r="A323" s="30"/>
      <c r="B323" s="30"/>
      <c r="C323" s="31"/>
      <c r="D323" s="30"/>
      <c r="E323" s="32"/>
      <c r="F323" s="30"/>
    </row>
    <row r="324" spans="1:6">
      <c r="A324" s="30"/>
      <c r="B324" s="30"/>
      <c r="C324" s="31"/>
      <c r="D324" s="30"/>
      <c r="E324" s="32"/>
      <c r="F324" s="30"/>
    </row>
    <row r="325" spans="1:6">
      <c r="A325" s="30"/>
      <c r="B325" s="30"/>
      <c r="C325" s="31"/>
      <c r="D325" s="30"/>
      <c r="E325" s="32"/>
      <c r="F325" s="30"/>
    </row>
    <row r="326" spans="1:6">
      <c r="A326" s="30"/>
      <c r="B326" s="30"/>
      <c r="C326" s="31"/>
      <c r="D326" s="30"/>
      <c r="E326" s="32"/>
      <c r="F326" s="30"/>
    </row>
    <row r="327" spans="1:6">
      <c r="A327" s="30"/>
      <c r="B327" s="30"/>
      <c r="C327" s="31"/>
      <c r="D327" s="30"/>
      <c r="E327" s="32"/>
      <c r="F327" s="30"/>
    </row>
    <row r="328" spans="1:6">
      <c r="A328" s="30"/>
      <c r="B328" s="30"/>
      <c r="C328" s="31"/>
      <c r="D328" s="30"/>
      <c r="E328" s="32"/>
      <c r="F328" s="30"/>
    </row>
    <row r="329" spans="1:6">
      <c r="A329" s="30"/>
      <c r="B329" s="30"/>
      <c r="C329" s="31"/>
      <c r="D329" s="30"/>
      <c r="E329" s="32"/>
      <c r="F329" s="30"/>
    </row>
    <row r="330" spans="1:6">
      <c r="A330" s="30"/>
      <c r="B330" s="30"/>
      <c r="C330" s="31"/>
      <c r="D330" s="30"/>
      <c r="E330" s="32"/>
      <c r="F330" s="30"/>
    </row>
    <row r="331" spans="1:6">
      <c r="A331" s="30"/>
      <c r="B331" s="30"/>
      <c r="C331" s="31"/>
      <c r="D331" s="30"/>
      <c r="E331" s="32"/>
      <c r="F331" s="30"/>
    </row>
    <row r="332" spans="1:6">
      <c r="A332" s="30"/>
      <c r="B332" s="30"/>
      <c r="C332" s="31"/>
      <c r="D332" s="30"/>
      <c r="E332" s="32"/>
      <c r="F332" s="30"/>
    </row>
    <row r="333" spans="1:6">
      <c r="A333" s="30"/>
      <c r="B333" s="30"/>
      <c r="C333" s="31"/>
      <c r="D333" s="30"/>
      <c r="E333" s="32"/>
      <c r="F333" s="30"/>
    </row>
    <row r="334" spans="1:6">
      <c r="A334" s="30"/>
      <c r="B334" s="30"/>
      <c r="C334" s="31"/>
      <c r="D334" s="30"/>
      <c r="E334" s="32"/>
      <c r="F334" s="30"/>
    </row>
    <row r="335" spans="1:6">
      <c r="A335" s="30"/>
      <c r="B335" s="30"/>
      <c r="C335" s="31"/>
      <c r="D335" s="30"/>
      <c r="E335" s="32"/>
      <c r="F335" s="30"/>
    </row>
    <row r="336" spans="1:6">
      <c r="A336" s="30"/>
      <c r="B336" s="30"/>
      <c r="C336" s="31"/>
      <c r="D336" s="30"/>
      <c r="E336" s="32"/>
      <c r="F336" s="30"/>
    </row>
    <row r="337" spans="1:6">
      <c r="A337" s="30"/>
      <c r="B337" s="30"/>
      <c r="C337" s="31"/>
      <c r="D337" s="30"/>
      <c r="E337" s="32"/>
      <c r="F337" s="30"/>
    </row>
    <row r="338" spans="1:6">
      <c r="A338" s="30"/>
      <c r="B338" s="30"/>
      <c r="C338" s="31"/>
      <c r="D338" s="30"/>
      <c r="E338" s="32"/>
      <c r="F338" s="30"/>
    </row>
    <row r="339" spans="1:6">
      <c r="A339" s="30"/>
      <c r="B339" s="30"/>
      <c r="C339" s="31"/>
      <c r="D339" s="30"/>
      <c r="E339" s="32"/>
      <c r="F339" s="30"/>
    </row>
    <row r="340" spans="1:6">
      <c r="A340" s="30"/>
      <c r="B340" s="30"/>
      <c r="C340" s="31"/>
      <c r="D340" s="30"/>
      <c r="E340" s="32"/>
      <c r="F340" s="30"/>
    </row>
    <row r="341" spans="1:6">
      <c r="A341" s="30"/>
      <c r="B341" s="30"/>
      <c r="C341" s="31"/>
      <c r="D341" s="30"/>
      <c r="E341" s="32"/>
      <c r="F341" s="30"/>
    </row>
  </sheetData>
  <autoFilter ref="A1:F284" xr:uid="{77415738-7553-4E66-9C68-9903A3F01304}">
    <filterColumn colId="2">
      <filters>
        <filter val="19/05/2025"/>
        <dateGroupItem year="2025" month="5" dateTimeGrouping="month"/>
      </filters>
    </filterColumn>
    <filterColumn colId="5">
      <filters>
        <filter val="Negociações"/>
      </filters>
    </filterColumn>
  </autoFilter>
  <dataValidations count="1">
    <dataValidation type="list" allowBlank="1" showInputMessage="1" showErrorMessage="1" sqref="F2:F341" xr:uid="{6D01291D-ED9C-420A-9503-1EC10D4BC7EE}">
      <formula1>"Contato inicial, Envio de tabelas, Negociações, Cadastro/BID, Go live, Stand by, Declinado"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6C4E-7F6C-49E6-BE45-71200F284F29}">
  <sheetPr codeName="Planilha4" filterMode="1"/>
  <dimension ref="A1:F156"/>
  <sheetViews>
    <sheetView showGridLines="0" tabSelected="1" topLeftCell="B1" zoomScaleNormal="100" workbookViewId="0">
      <pane ySplit="1" topLeftCell="A14" activePane="bottomLeft" state="frozen"/>
      <selection pane="bottomLeft" activeCell="C82" sqref="C82"/>
      <selection activeCell="E11" sqref="E11"/>
    </sheetView>
  </sheetViews>
  <sheetFormatPr defaultColWidth="9.140625" defaultRowHeight="10.15"/>
  <cols>
    <col min="1" max="1" width="15.7109375" style="1" customWidth="1"/>
    <col min="2" max="2" width="12.42578125" style="1" customWidth="1"/>
    <col min="3" max="3" width="15.7109375" style="2" customWidth="1"/>
    <col min="4" max="4" width="168.5703125" style="1" customWidth="1"/>
    <col min="5" max="5" width="18.140625" style="1" bestFit="1" customWidth="1"/>
    <col min="6" max="6" width="17.7109375" style="1" customWidth="1"/>
    <col min="7" max="16384" width="9.140625" style="1"/>
  </cols>
  <sheetData>
    <row r="1" spans="1:6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</row>
    <row r="2" spans="1:6" hidden="1">
      <c r="A2" s="17" t="s">
        <v>396</v>
      </c>
      <c r="B2" s="17" t="s">
        <v>397</v>
      </c>
      <c r="C2" s="20">
        <v>45761</v>
      </c>
      <c r="D2" s="17" t="s">
        <v>398</v>
      </c>
      <c r="E2" s="17"/>
      <c r="F2" s="11" t="s">
        <v>27</v>
      </c>
    </row>
    <row r="3" spans="1:6" hidden="1">
      <c r="A3" s="17" t="s">
        <v>396</v>
      </c>
      <c r="B3" s="17" t="s">
        <v>399</v>
      </c>
      <c r="C3" s="20">
        <v>45761</v>
      </c>
      <c r="D3" s="17" t="s">
        <v>191</v>
      </c>
      <c r="E3" s="17"/>
      <c r="F3" s="11" t="s">
        <v>9</v>
      </c>
    </row>
    <row r="4" spans="1:6" hidden="1">
      <c r="A4" s="17" t="s">
        <v>396</v>
      </c>
      <c r="B4" s="17" t="s">
        <v>400</v>
      </c>
      <c r="C4" s="20">
        <v>45761</v>
      </c>
      <c r="D4" s="17" t="s">
        <v>191</v>
      </c>
      <c r="E4" s="17"/>
      <c r="F4" s="11" t="s">
        <v>9</v>
      </c>
    </row>
    <row r="5" spans="1:6" hidden="1">
      <c r="A5" s="17" t="s">
        <v>396</v>
      </c>
      <c r="B5" s="17" t="s">
        <v>401</v>
      </c>
      <c r="C5" s="20">
        <v>45761</v>
      </c>
      <c r="D5" s="17" t="s">
        <v>402</v>
      </c>
      <c r="E5" s="17"/>
      <c r="F5" s="11" t="s">
        <v>32</v>
      </c>
    </row>
    <row r="6" spans="1:6" hidden="1">
      <c r="A6" s="17" t="s">
        <v>396</v>
      </c>
      <c r="B6" s="17" t="s">
        <v>403</v>
      </c>
      <c r="C6" s="20">
        <v>45761</v>
      </c>
      <c r="D6" s="17" t="s">
        <v>404</v>
      </c>
      <c r="E6" s="17"/>
      <c r="F6" s="11" t="s">
        <v>13</v>
      </c>
    </row>
    <row r="7" spans="1:6" hidden="1">
      <c r="A7" s="17" t="s">
        <v>396</v>
      </c>
      <c r="B7" s="17" t="s">
        <v>405</v>
      </c>
      <c r="C7" s="20">
        <v>45761</v>
      </c>
      <c r="D7" s="17" t="s">
        <v>406</v>
      </c>
      <c r="E7" s="17"/>
      <c r="F7" s="11" t="s">
        <v>13</v>
      </c>
    </row>
    <row r="8" spans="1:6" hidden="1">
      <c r="A8" s="17" t="s">
        <v>396</v>
      </c>
      <c r="B8" s="17" t="s">
        <v>407</v>
      </c>
      <c r="C8" s="20">
        <v>45761</v>
      </c>
      <c r="D8" s="17" t="s">
        <v>408</v>
      </c>
      <c r="E8" s="17"/>
      <c r="F8" s="11" t="s">
        <v>32</v>
      </c>
    </row>
    <row r="9" spans="1:6" hidden="1">
      <c r="A9" s="17" t="s">
        <v>396</v>
      </c>
      <c r="B9" s="17" t="s">
        <v>409</v>
      </c>
      <c r="C9" s="20">
        <v>45755</v>
      </c>
      <c r="D9" s="17" t="s">
        <v>410</v>
      </c>
      <c r="E9" s="17"/>
      <c r="F9" s="11" t="s">
        <v>9</v>
      </c>
    </row>
    <row r="10" spans="1:6" hidden="1">
      <c r="A10" s="17" t="s">
        <v>396</v>
      </c>
      <c r="B10" s="17" t="s">
        <v>409</v>
      </c>
      <c r="C10" s="20">
        <v>45761</v>
      </c>
      <c r="D10" s="17" t="s">
        <v>411</v>
      </c>
      <c r="E10" s="17"/>
      <c r="F10" s="11" t="s">
        <v>32</v>
      </c>
    </row>
    <row r="11" spans="1:6" hidden="1">
      <c r="A11" s="17" t="s">
        <v>396</v>
      </c>
      <c r="B11" s="17" t="s">
        <v>412</v>
      </c>
      <c r="C11" s="20">
        <v>45761</v>
      </c>
      <c r="D11" s="17" t="s">
        <v>191</v>
      </c>
      <c r="E11" s="17"/>
      <c r="F11" s="11" t="s">
        <v>9</v>
      </c>
    </row>
    <row r="12" spans="1:6" hidden="1">
      <c r="A12" s="17" t="s">
        <v>396</v>
      </c>
      <c r="B12" s="17" t="s">
        <v>413</v>
      </c>
      <c r="C12" s="20">
        <v>45761</v>
      </c>
      <c r="D12" s="17" t="s">
        <v>191</v>
      </c>
      <c r="E12" s="17"/>
      <c r="F12" s="11" t="s">
        <v>9</v>
      </c>
    </row>
    <row r="13" spans="1:6" hidden="1">
      <c r="A13" s="17" t="s">
        <v>396</v>
      </c>
      <c r="B13" s="17" t="s">
        <v>414</v>
      </c>
      <c r="C13" s="20">
        <v>45761</v>
      </c>
      <c r="D13" s="17" t="s">
        <v>415</v>
      </c>
      <c r="E13" s="17"/>
      <c r="F13" s="11" t="s">
        <v>32</v>
      </c>
    </row>
    <row r="14" spans="1:6" ht="20.45">
      <c r="A14" s="17" t="s">
        <v>396</v>
      </c>
      <c r="B14" s="17" t="s">
        <v>416</v>
      </c>
      <c r="C14" s="20">
        <v>45755</v>
      </c>
      <c r="D14" s="17" t="s">
        <v>417</v>
      </c>
      <c r="E14" s="17"/>
      <c r="F14" s="11" t="s">
        <v>9</v>
      </c>
    </row>
    <row r="15" spans="1:6">
      <c r="A15" s="17" t="s">
        <v>396</v>
      </c>
      <c r="B15" s="17" t="s">
        <v>416</v>
      </c>
      <c r="C15" s="20">
        <v>45761</v>
      </c>
      <c r="D15" s="17" t="s">
        <v>418</v>
      </c>
      <c r="E15" s="17"/>
      <c r="F15" s="11" t="s">
        <v>11</v>
      </c>
    </row>
    <row r="16" spans="1:6" hidden="1">
      <c r="A16" s="17" t="s">
        <v>396</v>
      </c>
      <c r="B16" s="17" t="s">
        <v>419</v>
      </c>
      <c r="C16" s="20">
        <v>45761</v>
      </c>
      <c r="D16" s="17" t="s">
        <v>191</v>
      </c>
      <c r="E16" s="17"/>
      <c r="F16" s="11" t="s">
        <v>9</v>
      </c>
    </row>
    <row r="17" spans="1:6" ht="20.45" hidden="1">
      <c r="A17" s="17" t="s">
        <v>396</v>
      </c>
      <c r="B17" s="17" t="s">
        <v>420</v>
      </c>
      <c r="C17" s="20">
        <v>45755</v>
      </c>
      <c r="D17" s="17" t="s">
        <v>421</v>
      </c>
      <c r="E17" s="17"/>
      <c r="F17" s="11" t="s">
        <v>9</v>
      </c>
    </row>
    <row r="18" spans="1:6" ht="20.45" hidden="1">
      <c r="A18" s="17" t="s">
        <v>396</v>
      </c>
      <c r="B18" s="17" t="s">
        <v>420</v>
      </c>
      <c r="C18" s="20">
        <v>45761</v>
      </c>
      <c r="D18" s="17" t="s">
        <v>422</v>
      </c>
      <c r="E18" s="17"/>
      <c r="F18" s="11" t="s">
        <v>11</v>
      </c>
    </row>
    <row r="19" spans="1:6" hidden="1">
      <c r="A19" s="17" t="s">
        <v>396</v>
      </c>
      <c r="B19" s="17" t="s">
        <v>423</v>
      </c>
      <c r="C19" s="20">
        <v>45761</v>
      </c>
      <c r="D19" s="17" t="s">
        <v>191</v>
      </c>
      <c r="E19" s="17"/>
      <c r="F19" s="11" t="s">
        <v>9</v>
      </c>
    </row>
    <row r="20" spans="1:6" hidden="1">
      <c r="A20" s="17" t="s">
        <v>396</v>
      </c>
      <c r="B20" s="17" t="s">
        <v>424</v>
      </c>
      <c r="C20" s="20">
        <v>45761</v>
      </c>
      <c r="D20" s="17" t="s">
        <v>191</v>
      </c>
      <c r="E20" s="17"/>
      <c r="F20" s="11" t="s">
        <v>9</v>
      </c>
    </row>
    <row r="21" spans="1:6" hidden="1">
      <c r="A21" s="17" t="s">
        <v>396</v>
      </c>
      <c r="B21" s="17" t="s">
        <v>425</v>
      </c>
      <c r="C21" s="20">
        <v>45761</v>
      </c>
      <c r="D21" s="17" t="s">
        <v>191</v>
      </c>
      <c r="E21" s="17"/>
      <c r="F21" s="11" t="s">
        <v>9</v>
      </c>
    </row>
    <row r="22" spans="1:6" hidden="1">
      <c r="A22" s="17" t="s">
        <v>396</v>
      </c>
      <c r="B22" s="17" t="s">
        <v>397</v>
      </c>
      <c r="C22" s="20">
        <v>45776</v>
      </c>
      <c r="D22" s="17" t="s">
        <v>426</v>
      </c>
      <c r="E22" s="17"/>
      <c r="F22" s="11" t="s">
        <v>11</v>
      </c>
    </row>
    <row r="23" spans="1:6" hidden="1">
      <c r="A23" s="17" t="s">
        <v>396</v>
      </c>
      <c r="B23" s="17" t="s">
        <v>399</v>
      </c>
      <c r="C23" s="20">
        <v>45776</v>
      </c>
      <c r="D23" s="17" t="s">
        <v>427</v>
      </c>
      <c r="E23" s="17"/>
      <c r="F23" s="11" t="s">
        <v>13</v>
      </c>
    </row>
    <row r="24" spans="1:6" hidden="1">
      <c r="A24" s="17" t="s">
        <v>396</v>
      </c>
      <c r="B24" s="17" t="s">
        <v>400</v>
      </c>
      <c r="C24" s="20">
        <v>45776</v>
      </c>
      <c r="D24" s="17" t="s">
        <v>428</v>
      </c>
      <c r="E24" s="17"/>
      <c r="F24" s="11" t="s">
        <v>32</v>
      </c>
    </row>
    <row r="25" spans="1:6" hidden="1">
      <c r="A25" s="17" t="s">
        <v>396</v>
      </c>
      <c r="B25" s="17" t="s">
        <v>401</v>
      </c>
      <c r="C25" s="20">
        <v>45776</v>
      </c>
      <c r="D25" s="17" t="s">
        <v>429</v>
      </c>
      <c r="E25" s="17"/>
      <c r="F25" s="11" t="s">
        <v>32</v>
      </c>
    </row>
    <row r="26" spans="1:6" hidden="1">
      <c r="A26" s="17" t="s">
        <v>396</v>
      </c>
      <c r="B26" s="17" t="s">
        <v>403</v>
      </c>
      <c r="C26" s="20">
        <v>45776</v>
      </c>
      <c r="D26" s="17" t="s">
        <v>404</v>
      </c>
      <c r="E26" s="17"/>
      <c r="F26" s="11" t="s">
        <v>13</v>
      </c>
    </row>
    <row r="27" spans="1:6" hidden="1">
      <c r="A27" s="17" t="s">
        <v>396</v>
      </c>
      <c r="B27" s="17" t="s">
        <v>405</v>
      </c>
      <c r="C27" s="20">
        <v>45776</v>
      </c>
      <c r="D27" s="17" t="s">
        <v>406</v>
      </c>
      <c r="E27" s="17"/>
      <c r="F27" s="11" t="s">
        <v>13</v>
      </c>
    </row>
    <row r="28" spans="1:6" hidden="1">
      <c r="A28" s="17" t="s">
        <v>396</v>
      </c>
      <c r="B28" s="17" t="s">
        <v>407</v>
      </c>
      <c r="C28" s="20">
        <v>45776</v>
      </c>
      <c r="D28" s="17" t="s">
        <v>430</v>
      </c>
      <c r="E28" s="17"/>
      <c r="F28" s="11" t="s">
        <v>32</v>
      </c>
    </row>
    <row r="29" spans="1:6" hidden="1">
      <c r="A29" s="17" t="s">
        <v>396</v>
      </c>
      <c r="B29" s="17" t="s">
        <v>409</v>
      </c>
      <c r="C29" s="20">
        <v>45761</v>
      </c>
      <c r="D29" s="17" t="s">
        <v>411</v>
      </c>
      <c r="E29" s="17"/>
      <c r="F29" s="11" t="s">
        <v>32</v>
      </c>
    </row>
    <row r="30" spans="1:6" hidden="1">
      <c r="A30" s="17" t="s">
        <v>396</v>
      </c>
      <c r="B30" s="17" t="s">
        <v>412</v>
      </c>
      <c r="C30" s="20">
        <v>45776</v>
      </c>
      <c r="D30" s="17" t="s">
        <v>431</v>
      </c>
      <c r="E30" s="17"/>
      <c r="F30" s="11" t="s">
        <v>32</v>
      </c>
    </row>
    <row r="31" spans="1:6" hidden="1">
      <c r="A31" s="17" t="s">
        <v>396</v>
      </c>
      <c r="B31" s="17" t="s">
        <v>413</v>
      </c>
      <c r="C31" s="20">
        <v>45776</v>
      </c>
      <c r="D31" s="17" t="s">
        <v>432</v>
      </c>
      <c r="E31" s="17"/>
      <c r="F31" s="11" t="s">
        <v>11</v>
      </c>
    </row>
    <row r="32" spans="1:6">
      <c r="A32" s="17" t="s">
        <v>396</v>
      </c>
      <c r="B32" s="17" t="s">
        <v>416</v>
      </c>
      <c r="C32" s="20">
        <v>45776</v>
      </c>
      <c r="D32" s="17" t="s">
        <v>433</v>
      </c>
      <c r="E32" s="17"/>
      <c r="F32" s="11" t="s">
        <v>11</v>
      </c>
    </row>
    <row r="33" spans="1:6" hidden="1">
      <c r="A33" s="17" t="s">
        <v>396</v>
      </c>
      <c r="B33" s="17" t="s">
        <v>419</v>
      </c>
      <c r="C33" s="20">
        <v>45776</v>
      </c>
      <c r="D33" s="17" t="s">
        <v>434</v>
      </c>
      <c r="E33" s="17"/>
      <c r="F33" s="11" t="s">
        <v>32</v>
      </c>
    </row>
    <row r="34" spans="1:6" ht="20.45" hidden="1">
      <c r="A34" s="17" t="s">
        <v>396</v>
      </c>
      <c r="B34" s="17" t="s">
        <v>420</v>
      </c>
      <c r="C34" s="20">
        <v>45776</v>
      </c>
      <c r="D34" s="17" t="s">
        <v>435</v>
      </c>
      <c r="E34" s="17"/>
      <c r="F34" s="11" t="s">
        <v>27</v>
      </c>
    </row>
    <row r="35" spans="1:6" hidden="1">
      <c r="A35" s="17" t="s">
        <v>396</v>
      </c>
      <c r="B35" s="17" t="s">
        <v>423</v>
      </c>
      <c r="C35" s="20">
        <v>45776</v>
      </c>
      <c r="D35" s="17" t="s">
        <v>436</v>
      </c>
      <c r="E35" s="17"/>
      <c r="F35" s="11" t="s">
        <v>32</v>
      </c>
    </row>
    <row r="36" spans="1:6" hidden="1">
      <c r="A36" s="17" t="s">
        <v>396</v>
      </c>
      <c r="B36" s="17" t="s">
        <v>424</v>
      </c>
      <c r="C36" s="20">
        <v>45776</v>
      </c>
      <c r="D36" s="17" t="s">
        <v>437</v>
      </c>
      <c r="E36" s="17"/>
      <c r="F36" s="11" t="s">
        <v>32</v>
      </c>
    </row>
    <row r="37" spans="1:6" hidden="1">
      <c r="A37" s="17" t="s">
        <v>396</v>
      </c>
      <c r="B37" s="17" t="s">
        <v>425</v>
      </c>
      <c r="C37" s="20">
        <v>45776</v>
      </c>
      <c r="D37" s="17" t="s">
        <v>437</v>
      </c>
      <c r="E37" s="17"/>
      <c r="F37" s="11" t="s">
        <v>32</v>
      </c>
    </row>
    <row r="38" spans="1:6" hidden="1">
      <c r="A38" s="14" t="s">
        <v>396</v>
      </c>
      <c r="B38" s="14" t="s">
        <v>438</v>
      </c>
      <c r="C38" s="20">
        <v>45776</v>
      </c>
      <c r="D38" s="14" t="s">
        <v>439</v>
      </c>
      <c r="E38" s="14"/>
      <c r="F38" s="11" t="s">
        <v>140</v>
      </c>
    </row>
    <row r="39" spans="1:6" hidden="1">
      <c r="A39" s="14" t="s">
        <v>396</v>
      </c>
      <c r="B39" s="14" t="s">
        <v>440</v>
      </c>
      <c r="C39" s="20">
        <v>45776</v>
      </c>
      <c r="D39" s="14" t="s">
        <v>439</v>
      </c>
      <c r="E39" s="14"/>
      <c r="F39" s="11" t="s">
        <v>140</v>
      </c>
    </row>
    <row r="40" spans="1:6">
      <c r="A40" s="14" t="s">
        <v>396</v>
      </c>
      <c r="B40" s="14" t="s">
        <v>441</v>
      </c>
      <c r="C40" s="20">
        <v>45776</v>
      </c>
      <c r="D40" s="14" t="s">
        <v>442</v>
      </c>
      <c r="E40" s="14"/>
      <c r="F40" s="11" t="s">
        <v>140</v>
      </c>
    </row>
    <row r="41" spans="1:6" hidden="1">
      <c r="A41" s="14" t="s">
        <v>396</v>
      </c>
      <c r="B41" s="14" t="s">
        <v>443</v>
      </c>
      <c r="C41" s="20">
        <v>45776</v>
      </c>
      <c r="D41" s="14" t="s">
        <v>444</v>
      </c>
      <c r="E41" s="14"/>
      <c r="F41" s="11" t="s">
        <v>11</v>
      </c>
    </row>
    <row r="42" spans="1:6" hidden="1">
      <c r="A42" s="14" t="s">
        <v>396</v>
      </c>
      <c r="B42" s="14" t="s">
        <v>445</v>
      </c>
      <c r="C42" s="9">
        <v>45782</v>
      </c>
      <c r="D42" s="14" t="s">
        <v>446</v>
      </c>
      <c r="E42" s="22">
        <v>0</v>
      </c>
      <c r="F42" s="14" t="s">
        <v>9</v>
      </c>
    </row>
    <row r="43" spans="1:6" hidden="1">
      <c r="A43" s="17" t="s">
        <v>396</v>
      </c>
      <c r="B43" s="17" t="s">
        <v>397</v>
      </c>
      <c r="C43" s="20">
        <v>45782</v>
      </c>
      <c r="D43" s="17" t="s">
        <v>447</v>
      </c>
      <c r="E43" s="17"/>
      <c r="F43" s="11" t="s">
        <v>11</v>
      </c>
    </row>
    <row r="44" spans="1:6" hidden="1">
      <c r="A44" s="14" t="s">
        <v>396</v>
      </c>
      <c r="B44" s="14" t="s">
        <v>443</v>
      </c>
      <c r="C44" s="20">
        <v>45782</v>
      </c>
      <c r="D44" s="14" t="s">
        <v>448</v>
      </c>
      <c r="E44" s="14"/>
      <c r="F44" s="11" t="s">
        <v>11</v>
      </c>
    </row>
    <row r="45" spans="1:6" hidden="1">
      <c r="A45" s="17" t="s">
        <v>396</v>
      </c>
      <c r="B45" s="17" t="s">
        <v>397</v>
      </c>
      <c r="C45" s="20">
        <v>45783</v>
      </c>
      <c r="D45" s="17" t="s">
        <v>449</v>
      </c>
      <c r="E45" s="17"/>
      <c r="F45" s="11" t="s">
        <v>27</v>
      </c>
    </row>
    <row r="46" spans="1:6" hidden="1">
      <c r="A46" s="14" t="s">
        <v>396</v>
      </c>
      <c r="B46" s="14" t="s">
        <v>445</v>
      </c>
      <c r="C46" s="9">
        <v>45783</v>
      </c>
      <c r="D46" s="14" t="s">
        <v>450</v>
      </c>
      <c r="E46" s="22">
        <v>0</v>
      </c>
      <c r="F46" s="14" t="s">
        <v>11</v>
      </c>
    </row>
    <row r="47" spans="1:6" hidden="1">
      <c r="A47" s="14" t="s">
        <v>396</v>
      </c>
      <c r="B47" s="14" t="s">
        <v>445</v>
      </c>
      <c r="C47" s="9">
        <v>45784</v>
      </c>
      <c r="D47" s="14" t="s">
        <v>451</v>
      </c>
      <c r="E47" s="22">
        <v>0</v>
      </c>
      <c r="F47" s="14" t="s">
        <v>11</v>
      </c>
    </row>
    <row r="48" spans="1:6" hidden="1">
      <c r="A48" s="17" t="s">
        <v>396</v>
      </c>
      <c r="B48" s="17" t="s">
        <v>397</v>
      </c>
      <c r="C48" s="20">
        <v>45789</v>
      </c>
      <c r="D48" s="17" t="s">
        <v>452</v>
      </c>
      <c r="E48" s="17"/>
      <c r="F48" s="11" t="s">
        <v>27</v>
      </c>
    </row>
    <row r="49" spans="1:6" hidden="1">
      <c r="A49" s="17" t="s">
        <v>396</v>
      </c>
      <c r="B49" s="17" t="s">
        <v>399</v>
      </c>
      <c r="C49" s="20">
        <v>45789</v>
      </c>
      <c r="D49" s="17" t="s">
        <v>453</v>
      </c>
      <c r="E49" s="17"/>
      <c r="F49" s="11" t="s">
        <v>32</v>
      </c>
    </row>
    <row r="50" spans="1:6" hidden="1">
      <c r="A50" s="17" t="s">
        <v>396</v>
      </c>
      <c r="B50" s="17" t="s">
        <v>403</v>
      </c>
      <c r="C50" s="20">
        <v>45789</v>
      </c>
      <c r="D50" s="17" t="s">
        <v>454</v>
      </c>
      <c r="E50" s="17"/>
      <c r="F50" s="11" t="s">
        <v>32</v>
      </c>
    </row>
    <row r="51" spans="1:6" hidden="1">
      <c r="A51" s="17" t="s">
        <v>396</v>
      </c>
      <c r="B51" s="17" t="s">
        <v>405</v>
      </c>
      <c r="C51" s="20">
        <v>45789</v>
      </c>
      <c r="D51" s="17" t="s">
        <v>455</v>
      </c>
      <c r="E51" s="17"/>
      <c r="F51" s="11" t="s">
        <v>32</v>
      </c>
    </row>
    <row r="52" spans="1:6" hidden="1">
      <c r="A52" s="14" t="s">
        <v>396</v>
      </c>
      <c r="B52" s="14" t="s">
        <v>445</v>
      </c>
      <c r="C52" s="9">
        <v>45789</v>
      </c>
      <c r="D52" s="14" t="s">
        <v>456</v>
      </c>
      <c r="E52" s="22">
        <v>0</v>
      </c>
      <c r="F52" s="14" t="s">
        <v>11</v>
      </c>
    </row>
    <row r="53" spans="1:6" hidden="1">
      <c r="A53" s="14" t="s">
        <v>396</v>
      </c>
      <c r="B53" s="14" t="s">
        <v>440</v>
      </c>
      <c r="C53" s="20">
        <v>45789</v>
      </c>
      <c r="D53" s="14" t="s">
        <v>457</v>
      </c>
      <c r="E53" s="14"/>
      <c r="F53" s="11" t="s">
        <v>140</v>
      </c>
    </row>
    <row r="54" spans="1:6" hidden="1">
      <c r="A54" s="14" t="s">
        <v>396</v>
      </c>
      <c r="B54" s="14" t="s">
        <v>438</v>
      </c>
      <c r="C54" s="20">
        <v>45789</v>
      </c>
      <c r="D54" s="14" t="s">
        <v>457</v>
      </c>
      <c r="E54" s="14"/>
      <c r="F54" s="11" t="s">
        <v>140</v>
      </c>
    </row>
    <row r="55" spans="1:6" hidden="1">
      <c r="A55" s="17" t="s">
        <v>396</v>
      </c>
      <c r="B55" s="17" t="s">
        <v>409</v>
      </c>
      <c r="C55" s="20">
        <v>45789</v>
      </c>
      <c r="D55" s="17" t="s">
        <v>411</v>
      </c>
      <c r="E55" s="17"/>
      <c r="F55" s="11" t="s">
        <v>32</v>
      </c>
    </row>
    <row r="56" spans="1:6" hidden="1">
      <c r="A56" s="17" t="s">
        <v>396</v>
      </c>
      <c r="B56" s="17" t="s">
        <v>413</v>
      </c>
      <c r="C56" s="20">
        <v>45789</v>
      </c>
      <c r="D56" s="17" t="s">
        <v>458</v>
      </c>
      <c r="E56" s="17"/>
      <c r="F56" s="11" t="s">
        <v>11</v>
      </c>
    </row>
    <row r="57" spans="1:6" hidden="1">
      <c r="A57" s="14" t="s">
        <v>396</v>
      </c>
      <c r="B57" s="14" t="s">
        <v>443</v>
      </c>
      <c r="C57" s="20">
        <v>45789</v>
      </c>
      <c r="D57" s="14" t="s">
        <v>459</v>
      </c>
      <c r="E57" s="14"/>
      <c r="F57" s="11" t="s">
        <v>11</v>
      </c>
    </row>
    <row r="58" spans="1:6">
      <c r="A58" s="17" t="s">
        <v>396</v>
      </c>
      <c r="B58" s="17" t="s">
        <v>416</v>
      </c>
      <c r="C58" s="20">
        <v>45789</v>
      </c>
      <c r="D58" s="17" t="s">
        <v>460</v>
      </c>
      <c r="E58" s="17"/>
      <c r="F58" s="11" t="s">
        <v>11</v>
      </c>
    </row>
    <row r="59" spans="1:6" ht="20.45" hidden="1">
      <c r="A59" s="17" t="s">
        <v>396</v>
      </c>
      <c r="B59" s="17" t="s">
        <v>420</v>
      </c>
      <c r="C59" s="20">
        <v>45789</v>
      </c>
      <c r="D59" s="17" t="s">
        <v>461</v>
      </c>
      <c r="E59" s="17"/>
      <c r="F59" s="11" t="s">
        <v>27</v>
      </c>
    </row>
    <row r="60" spans="1:6">
      <c r="A60" s="14" t="s">
        <v>396</v>
      </c>
      <c r="B60" s="14" t="s">
        <v>441</v>
      </c>
      <c r="C60" s="20">
        <v>45789</v>
      </c>
      <c r="D60" s="14" t="s">
        <v>462</v>
      </c>
      <c r="E60" s="14"/>
      <c r="F60" s="11" t="s">
        <v>13</v>
      </c>
    </row>
    <row r="61" spans="1:6" hidden="1">
      <c r="A61" s="14" t="s">
        <v>396</v>
      </c>
      <c r="B61" s="14" t="s">
        <v>463</v>
      </c>
      <c r="C61" s="9">
        <v>45789</v>
      </c>
      <c r="D61" s="14" t="s">
        <v>464</v>
      </c>
      <c r="E61" s="14"/>
      <c r="F61" s="14" t="s">
        <v>9</v>
      </c>
    </row>
    <row r="62" spans="1:6" hidden="1">
      <c r="A62" s="14" t="s">
        <v>396</v>
      </c>
      <c r="B62" s="14" t="s">
        <v>445</v>
      </c>
      <c r="C62" s="9">
        <v>45789</v>
      </c>
      <c r="D62" s="14" t="s">
        <v>465</v>
      </c>
      <c r="E62" s="22">
        <v>0</v>
      </c>
      <c r="F62" s="14" t="s">
        <v>11</v>
      </c>
    </row>
    <row r="63" spans="1:6" hidden="1">
      <c r="A63" s="14" t="s">
        <v>396</v>
      </c>
      <c r="B63" s="14" t="s">
        <v>445</v>
      </c>
      <c r="C63" s="9">
        <v>45789</v>
      </c>
      <c r="D63" s="14" t="s">
        <v>466</v>
      </c>
      <c r="E63" s="22">
        <v>0</v>
      </c>
      <c r="F63" s="14" t="s">
        <v>11</v>
      </c>
    </row>
    <row r="64" spans="1:6" hidden="1">
      <c r="A64" s="14" t="s">
        <v>396</v>
      </c>
      <c r="B64" s="14" t="s">
        <v>463</v>
      </c>
      <c r="C64" s="9">
        <v>45792</v>
      </c>
      <c r="D64" s="14" t="s">
        <v>467</v>
      </c>
      <c r="E64" s="14"/>
      <c r="F64" s="14"/>
    </row>
    <row r="65" spans="1:6" hidden="1">
      <c r="A65" s="14" t="s">
        <v>396</v>
      </c>
      <c r="B65" s="14" t="s">
        <v>445</v>
      </c>
      <c r="C65" s="9">
        <v>45792</v>
      </c>
      <c r="D65" s="14" t="s">
        <v>468</v>
      </c>
      <c r="E65" s="14"/>
      <c r="F65" s="14"/>
    </row>
    <row r="66" spans="1:6" hidden="1">
      <c r="A66" s="17" t="s">
        <v>396</v>
      </c>
      <c r="B66" s="17" t="s">
        <v>397</v>
      </c>
      <c r="C66" s="9">
        <v>45791</v>
      </c>
      <c r="D66" s="14" t="s">
        <v>469</v>
      </c>
      <c r="E66" s="14"/>
      <c r="F66" s="14"/>
    </row>
    <row r="67" spans="1:6" hidden="1">
      <c r="A67" s="14" t="s">
        <v>396</v>
      </c>
      <c r="B67" s="14" t="s">
        <v>440</v>
      </c>
      <c r="C67" s="9">
        <v>45792</v>
      </c>
      <c r="D67" s="14" t="s">
        <v>470</v>
      </c>
      <c r="E67" s="14"/>
      <c r="F67" s="14"/>
    </row>
    <row r="68" spans="1:6" hidden="1">
      <c r="A68" s="14" t="s">
        <v>396</v>
      </c>
      <c r="B68" s="14" t="s">
        <v>409</v>
      </c>
      <c r="C68" s="9">
        <v>45792</v>
      </c>
      <c r="D68" s="14" t="s">
        <v>471</v>
      </c>
      <c r="E68" s="14"/>
      <c r="F68" s="14"/>
    </row>
    <row r="69" spans="1:6" hidden="1">
      <c r="A69" s="14" t="s">
        <v>396</v>
      </c>
      <c r="B69" s="14" t="s">
        <v>443</v>
      </c>
      <c r="C69" s="9">
        <v>45792</v>
      </c>
      <c r="D69" s="14" t="s">
        <v>472</v>
      </c>
      <c r="E69" s="14"/>
      <c r="F69" s="14"/>
    </row>
    <row r="70" spans="1:6" hidden="1">
      <c r="A70" s="14" t="s">
        <v>396</v>
      </c>
      <c r="B70" s="14" t="s">
        <v>438</v>
      </c>
      <c r="C70" s="9">
        <v>45792</v>
      </c>
      <c r="D70" s="14" t="s">
        <v>473</v>
      </c>
      <c r="E70" s="14"/>
      <c r="F70" s="14"/>
    </row>
    <row r="71" spans="1:6" hidden="1">
      <c r="A71" s="14" t="s">
        <v>396</v>
      </c>
      <c r="B71" s="14" t="s">
        <v>463</v>
      </c>
      <c r="C71" s="9">
        <v>45792</v>
      </c>
      <c r="D71" s="1" t="s">
        <v>474</v>
      </c>
      <c r="E71" s="14"/>
      <c r="F71" s="14"/>
    </row>
    <row r="72" spans="1:6" hidden="1">
      <c r="A72" s="14" t="s">
        <v>396</v>
      </c>
      <c r="B72" s="14" t="s">
        <v>420</v>
      </c>
      <c r="C72" s="9">
        <v>45793</v>
      </c>
      <c r="D72" s="14" t="s">
        <v>475</v>
      </c>
      <c r="E72" s="14"/>
      <c r="F72" s="14"/>
    </row>
    <row r="73" spans="1:6">
      <c r="A73" s="14" t="s">
        <v>396</v>
      </c>
      <c r="B73" s="14" t="s">
        <v>441</v>
      </c>
      <c r="C73" s="9">
        <v>45793</v>
      </c>
      <c r="D73" s="14" t="s">
        <v>476</v>
      </c>
      <c r="E73" s="14"/>
      <c r="F73" s="14"/>
    </row>
    <row r="74" spans="1:6">
      <c r="A74" s="14"/>
      <c r="B74" s="14" t="s">
        <v>416</v>
      </c>
      <c r="C74" s="9">
        <v>45791</v>
      </c>
      <c r="D74" s="14" t="s">
        <v>477</v>
      </c>
      <c r="E74" s="14"/>
      <c r="F74" s="14"/>
    </row>
    <row r="75" spans="1:6">
      <c r="A75" s="14"/>
      <c r="B75" s="14"/>
      <c r="C75" s="9"/>
      <c r="D75" s="14"/>
      <c r="E75" s="14"/>
      <c r="F75" s="14"/>
    </row>
    <row r="76" spans="1:6">
      <c r="A76" s="14"/>
      <c r="B76" s="14"/>
      <c r="C76" s="9"/>
      <c r="D76" s="14"/>
      <c r="E76" s="14"/>
      <c r="F76" s="14"/>
    </row>
    <row r="77" spans="1:6">
      <c r="A77" s="14"/>
      <c r="B77" s="14"/>
      <c r="C77" s="9"/>
      <c r="D77" s="14"/>
      <c r="E77" s="14"/>
      <c r="F77" s="14"/>
    </row>
    <row r="78" spans="1:6">
      <c r="A78" s="14"/>
      <c r="B78" s="14"/>
      <c r="C78" s="9"/>
      <c r="D78" s="14"/>
      <c r="E78" s="14"/>
      <c r="F78" s="14"/>
    </row>
    <row r="79" spans="1:6">
      <c r="A79" s="14"/>
      <c r="B79" s="14"/>
      <c r="C79" s="9"/>
      <c r="D79" s="14"/>
      <c r="E79" s="14"/>
      <c r="F79" s="14"/>
    </row>
    <row r="80" spans="1:6">
      <c r="A80" s="14"/>
      <c r="B80" s="14"/>
      <c r="C80" s="9"/>
      <c r="D80" s="14"/>
      <c r="E80" s="14"/>
      <c r="F80" s="14"/>
    </row>
    <row r="81" spans="1:6">
      <c r="A81" s="14"/>
      <c r="B81" s="14"/>
      <c r="C81" s="9"/>
      <c r="D81" s="14"/>
      <c r="E81" s="14"/>
      <c r="F81" s="14"/>
    </row>
    <row r="82" spans="1:6">
      <c r="A82" s="14"/>
      <c r="B82" s="14"/>
      <c r="C82" s="9"/>
      <c r="D82" s="14"/>
      <c r="E82" s="14"/>
      <c r="F82" s="14"/>
    </row>
    <row r="83" spans="1:6">
      <c r="A83" s="14"/>
      <c r="B83" s="14"/>
      <c r="C83" s="9"/>
      <c r="D83" s="14"/>
      <c r="E83" s="14"/>
      <c r="F83" s="14"/>
    </row>
    <row r="84" spans="1:6">
      <c r="A84" s="14"/>
      <c r="B84" s="14"/>
      <c r="C84" s="9"/>
      <c r="D84" s="14"/>
      <c r="E84" s="14"/>
      <c r="F84" s="14"/>
    </row>
    <row r="85" spans="1:6">
      <c r="A85" s="14"/>
      <c r="B85" s="14"/>
      <c r="C85" s="9"/>
      <c r="D85" s="14"/>
      <c r="E85" s="14"/>
      <c r="F85" s="14"/>
    </row>
    <row r="86" spans="1:6">
      <c r="A86" s="14"/>
      <c r="B86" s="14"/>
      <c r="C86" s="9"/>
      <c r="D86" s="14"/>
      <c r="E86" s="14"/>
      <c r="F86" s="14"/>
    </row>
    <row r="87" spans="1:6">
      <c r="A87" s="14"/>
      <c r="B87" s="14"/>
      <c r="C87" s="9"/>
      <c r="D87" s="14"/>
      <c r="E87" s="14"/>
      <c r="F87" s="14"/>
    </row>
    <row r="88" spans="1:6">
      <c r="A88" s="14"/>
      <c r="B88" s="14"/>
      <c r="C88" s="9"/>
      <c r="D88" s="14"/>
      <c r="E88" s="14"/>
      <c r="F88" s="14"/>
    </row>
    <row r="89" spans="1:6">
      <c r="A89" s="14"/>
      <c r="B89" s="14"/>
      <c r="C89" s="9"/>
      <c r="D89" s="14"/>
      <c r="E89" s="14"/>
      <c r="F89" s="14"/>
    </row>
    <row r="90" spans="1:6">
      <c r="A90" s="14"/>
      <c r="B90" s="14"/>
      <c r="C90" s="9"/>
      <c r="D90" s="14"/>
      <c r="E90" s="14"/>
      <c r="F90" s="14"/>
    </row>
    <row r="91" spans="1:6">
      <c r="A91" s="14"/>
      <c r="B91" s="14"/>
      <c r="C91" s="9"/>
      <c r="D91" s="14"/>
      <c r="E91" s="14"/>
      <c r="F91" s="14"/>
    </row>
    <row r="92" spans="1:6">
      <c r="A92" s="14"/>
      <c r="B92" s="14"/>
      <c r="C92" s="9"/>
      <c r="D92" s="14"/>
      <c r="E92" s="14"/>
      <c r="F92" s="14"/>
    </row>
    <row r="93" spans="1:6">
      <c r="A93" s="14"/>
      <c r="B93" s="14"/>
      <c r="C93" s="9"/>
      <c r="D93" s="14"/>
      <c r="E93" s="14"/>
      <c r="F93" s="14"/>
    </row>
    <row r="94" spans="1:6">
      <c r="A94" s="14"/>
      <c r="B94" s="14"/>
      <c r="C94" s="9"/>
      <c r="D94" s="14"/>
      <c r="E94" s="14"/>
      <c r="F94" s="14"/>
    </row>
    <row r="95" spans="1:6">
      <c r="A95" s="14"/>
      <c r="B95" s="14"/>
      <c r="C95" s="9"/>
      <c r="D95" s="14"/>
      <c r="E95" s="14"/>
      <c r="F95" s="14"/>
    </row>
    <row r="96" spans="1:6">
      <c r="A96" s="14"/>
      <c r="B96" s="14"/>
      <c r="C96" s="9"/>
      <c r="D96" s="14"/>
      <c r="E96" s="14"/>
      <c r="F96" s="14"/>
    </row>
    <row r="97" spans="1:6">
      <c r="A97" s="14"/>
      <c r="B97" s="14"/>
      <c r="C97" s="9"/>
      <c r="D97" s="14"/>
      <c r="E97" s="14"/>
      <c r="F97" s="14"/>
    </row>
    <row r="98" spans="1:6">
      <c r="A98" s="14"/>
      <c r="B98" s="14"/>
      <c r="C98" s="9"/>
      <c r="D98" s="14"/>
      <c r="E98" s="14"/>
      <c r="F98" s="14"/>
    </row>
    <row r="99" spans="1:6">
      <c r="A99" s="14"/>
      <c r="B99" s="14"/>
      <c r="C99" s="9"/>
      <c r="D99" s="14"/>
      <c r="E99" s="14"/>
      <c r="F99" s="14"/>
    </row>
    <row r="100" spans="1:6">
      <c r="C100" s="4"/>
    </row>
    <row r="101" spans="1:6">
      <c r="C101" s="4"/>
    </row>
    <row r="102" spans="1:6">
      <c r="C102" s="4"/>
    </row>
    <row r="103" spans="1:6">
      <c r="C103" s="4"/>
    </row>
    <row r="104" spans="1:6">
      <c r="C104" s="4"/>
    </row>
    <row r="105" spans="1:6">
      <c r="C105" s="4"/>
    </row>
    <row r="106" spans="1:6">
      <c r="C106" s="4"/>
    </row>
    <row r="107" spans="1:6">
      <c r="C107" s="4"/>
    </row>
    <row r="108" spans="1:6">
      <c r="C108" s="4"/>
    </row>
    <row r="109" spans="1:6">
      <c r="C109" s="4"/>
    </row>
    <row r="110" spans="1:6">
      <c r="C110" s="4"/>
    </row>
    <row r="111" spans="1:6">
      <c r="C111" s="4"/>
    </row>
    <row r="112" spans="1:6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</sheetData>
  <autoFilter ref="A1:F73" xr:uid="{77415738-7553-4E66-9C68-9903A3F01304}">
    <filterColumn colId="1">
      <filters>
        <filter val="Piracanjuba"/>
        <filter val="Tekno"/>
      </filters>
    </filterColumn>
  </autoFilter>
  <dataValidations count="1">
    <dataValidation type="list" allowBlank="1" showInputMessage="1" showErrorMessage="1" sqref="F2:F60 F62:F63" xr:uid="{5AF2D228-91A9-4548-B4B2-2FBF44D3DA42}">
      <formula1>"Contato inicial, Envio de tabelas, Negociações, Cadastro/BID, Go live, Stand by, Declinado"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Cesar Cordeiro</dc:creator>
  <cp:keywords/>
  <dc:description/>
  <cp:lastModifiedBy/>
  <cp:revision/>
  <dcterms:created xsi:type="dcterms:W3CDTF">2025-04-16T11:29:49Z</dcterms:created>
  <dcterms:modified xsi:type="dcterms:W3CDTF">2025-05-19T10:59:28Z</dcterms:modified>
  <cp:category/>
  <cp:contentStatus/>
</cp:coreProperties>
</file>