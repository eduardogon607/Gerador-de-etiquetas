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goncalves\Downloads\"/>
    </mc:Choice>
  </mc:AlternateContent>
  <xr:revisionPtr revIDLastSave="0" documentId="8_{85C59698-BE1B-4E6B-8371-82B41450568B}" xr6:coauthVersionLast="47" xr6:coauthVersionMax="47" xr10:uidLastSave="{00000000-0000-0000-0000-000000000000}"/>
  <bookViews>
    <workbookView xWindow="-108" yWindow="-108" windowWidth="23256" windowHeight="12456" xr2:uid="{B65F796E-0E7E-4E65-AAB4-B29FC7A030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</calcChain>
</file>

<file path=xl/sharedStrings.xml><?xml version="1.0" encoding="utf-8"?>
<sst xmlns="http://schemas.openxmlformats.org/spreadsheetml/2006/main" count="319" uniqueCount="141">
  <si>
    <r>
      <t xml:space="preserve">CONTROLE DE CARGA PARA EMBARQUE - </t>
    </r>
    <r>
      <rPr>
        <b/>
        <sz val="24"/>
        <color theme="3" tint="0.39997558519241921"/>
        <rFont val="Aptos Display"/>
        <family val="1"/>
        <scheme val="major"/>
      </rPr>
      <t>ANTUERPIA AN-12125</t>
    </r>
  </si>
  <si>
    <t>AGUARDANDO EMBARQUE</t>
  </si>
  <si>
    <t>RQ. 036</t>
  </si>
  <si>
    <t>PRÓXIMA BALSA</t>
  </si>
  <si>
    <t>EMBARCADO</t>
  </si>
  <si>
    <t>DATA</t>
  </si>
  <si>
    <t>MÊS</t>
  </si>
  <si>
    <t>POSIÇÃO</t>
  </si>
  <si>
    <t>EMPRESA</t>
  </si>
  <si>
    <t>TIPO</t>
  </si>
  <si>
    <t>PLACAS</t>
  </si>
  <si>
    <t>MDF/DANFE</t>
  </si>
  <si>
    <t>QDE</t>
  </si>
  <si>
    <t>PRODUTO</t>
  </si>
  <si>
    <t>PESO</t>
  </si>
  <si>
    <t xml:space="preserve">VALOR AVERBADO </t>
  </si>
  <si>
    <t>CHEGADA</t>
  </si>
  <si>
    <t>DATA DESCARGA</t>
  </si>
  <si>
    <t>STATUS</t>
  </si>
  <si>
    <t>COMERCIAL</t>
  </si>
  <si>
    <t>COMBITRANS / LSL</t>
  </si>
  <si>
    <t>RACK</t>
  </si>
  <si>
    <r>
      <t xml:space="preserve">MZJ-7I87 / </t>
    </r>
    <r>
      <rPr>
        <sz val="10"/>
        <color rgb="FF000000"/>
        <rFont val="Arial"/>
        <family val="2"/>
      </rPr>
      <t>JQI-9B86</t>
    </r>
  </si>
  <si>
    <t>673 / MTO: 4567</t>
  </si>
  <si>
    <t>RACKS / CBA</t>
  </si>
  <si>
    <t>03/21/2025 12:30</t>
  </si>
  <si>
    <t>LIBERADO</t>
  </si>
  <si>
    <t>COMBITRANS</t>
  </si>
  <si>
    <r>
      <rPr>
        <b/>
        <sz val="10"/>
        <color rgb="FF000000"/>
        <rFont val="Arial"/>
      </rPr>
      <t xml:space="preserve">SZE-7H53 / </t>
    </r>
    <r>
      <rPr>
        <sz val="10"/>
        <color rgb="FF000000"/>
        <rFont val="Arial"/>
      </rPr>
      <t>SWB-3E88 (B)</t>
    </r>
  </si>
  <si>
    <t>1647 / MTO: 12109</t>
  </si>
  <si>
    <t>RACKS / RIO</t>
  </si>
  <si>
    <t>EMBARCADO AN-12125</t>
  </si>
  <si>
    <r>
      <rPr>
        <b/>
        <sz val="10"/>
        <color rgb="FF000000"/>
        <rFont val="Arial"/>
      </rPr>
      <t xml:space="preserve">SZE-7H53 / </t>
    </r>
    <r>
      <rPr>
        <sz val="10"/>
        <color rgb="FF000000"/>
        <rFont val="Arial"/>
      </rPr>
      <t>SUS-5I51 (B)</t>
    </r>
  </si>
  <si>
    <t>1648 / MTO: 12109</t>
  </si>
  <si>
    <r>
      <t xml:space="preserve">GGW-0D83 / </t>
    </r>
    <r>
      <rPr>
        <sz val="10"/>
        <color rgb="FF000000"/>
        <rFont val="Arial"/>
        <family val="2"/>
      </rPr>
      <t>PHZ-3C22 (B)</t>
    </r>
  </si>
  <si>
    <t>1340 / MTO: 10702</t>
  </si>
  <si>
    <t>RACKS / RFJ</t>
  </si>
  <si>
    <r>
      <t xml:space="preserve">GGW-0D83 / </t>
    </r>
    <r>
      <rPr>
        <sz val="10"/>
        <color rgb="FF000000"/>
        <rFont val="Arial"/>
        <family val="2"/>
      </rPr>
      <t>PHZ-3E72 (B)</t>
    </r>
  </si>
  <si>
    <t>1341 / MTO: 10702</t>
  </si>
  <si>
    <r>
      <t xml:space="preserve">FMW-4A01 / </t>
    </r>
    <r>
      <rPr>
        <sz val="10"/>
        <color rgb="FF000000"/>
        <rFont val="Arial"/>
        <family val="2"/>
      </rPr>
      <t>TMF-3G75 (B)</t>
    </r>
  </si>
  <si>
    <t>1436 / MTO: MTO: 12251</t>
  </si>
  <si>
    <t>RACKS / BTM</t>
  </si>
  <si>
    <r>
      <t xml:space="preserve">FMW-4A01 / </t>
    </r>
    <r>
      <rPr>
        <sz val="10"/>
        <color rgb="FF000000"/>
        <rFont val="Arial"/>
        <family val="2"/>
      </rPr>
      <t>TMC-8C44 (B)</t>
    </r>
  </si>
  <si>
    <t>1437 / MTO: MTO: 12251</t>
  </si>
  <si>
    <t>DPB-2192</t>
  </si>
  <si>
    <t>3139 / MTO: 2049</t>
  </si>
  <si>
    <t>RACKS / BEL</t>
  </si>
  <si>
    <t>PHU-6A16</t>
  </si>
  <si>
    <t>3140 / MTO: 2050</t>
  </si>
  <si>
    <t>ANEXO P2</t>
  </si>
  <si>
    <t>EZX-5329</t>
  </si>
  <si>
    <t>3141 / MTO: 2051</t>
  </si>
  <si>
    <r>
      <t xml:space="preserve">QYE-8472 / </t>
    </r>
    <r>
      <rPr>
        <sz val="10"/>
        <color rgb="FF000000"/>
        <rFont val="Arial"/>
        <family val="2"/>
      </rPr>
      <t>QYK-9E22</t>
    </r>
  </si>
  <si>
    <t>3004 / MTO: 6369</t>
  </si>
  <si>
    <t>RACKS / REC</t>
  </si>
  <si>
    <r>
      <t xml:space="preserve">DBB-9E18 / </t>
    </r>
    <r>
      <rPr>
        <sz val="10"/>
        <color rgb="FF000000"/>
        <rFont val="Arial"/>
        <family val="2"/>
      </rPr>
      <t>OYO-3E44</t>
    </r>
  </si>
  <si>
    <t>3005 / MTO: 6371</t>
  </si>
  <si>
    <t>G R TRANSPORTES</t>
  </si>
  <si>
    <t>DIVERSOS</t>
  </si>
  <si>
    <r>
      <rPr>
        <b/>
        <sz val="10"/>
        <color rgb="FF000000"/>
        <rFont val="Arial"/>
        <family val="2"/>
      </rPr>
      <t xml:space="preserve">PQH-4J20 / </t>
    </r>
    <r>
      <rPr>
        <sz val="10"/>
        <color rgb="FF000000"/>
        <rFont val="Arial"/>
        <family val="2"/>
      </rPr>
      <t>EWU-2I95 (B)</t>
    </r>
  </si>
  <si>
    <t>PALETES</t>
  </si>
  <si>
    <t>LATA VAZIA</t>
  </si>
  <si>
    <t>SALES</t>
  </si>
  <si>
    <r>
      <rPr>
        <b/>
        <sz val="10"/>
        <color rgb="FF000000"/>
        <rFont val="Arial"/>
        <family val="2"/>
      </rPr>
      <t xml:space="preserve">PQH-4J20 / </t>
    </r>
    <r>
      <rPr>
        <sz val="10"/>
        <color rgb="FF000000"/>
        <rFont val="Arial"/>
        <family val="2"/>
      </rPr>
      <t>EWU-2I87 (B)</t>
    </r>
  </si>
  <si>
    <t>DH COMERCIO</t>
  </si>
  <si>
    <r>
      <rPr>
        <b/>
        <sz val="10"/>
        <color rgb="FF000000"/>
        <rFont val="Arial"/>
        <family val="2"/>
      </rPr>
      <t xml:space="preserve">QDV-6H21 / </t>
    </r>
    <r>
      <rPr>
        <sz val="10"/>
        <color rgb="FF000000"/>
        <rFont val="Arial"/>
        <family val="2"/>
      </rPr>
      <t>QDO-8I44 (B)</t>
    </r>
  </si>
  <si>
    <t>ARGAMASSA</t>
  </si>
  <si>
    <t>BRB MATERIAS</t>
  </si>
  <si>
    <r>
      <rPr>
        <b/>
        <sz val="10"/>
        <color rgb="FF000000"/>
        <rFont val="Arial"/>
        <family val="2"/>
      </rPr>
      <t xml:space="preserve">QDV-6H21 / </t>
    </r>
    <r>
      <rPr>
        <sz val="10"/>
        <color rgb="FF000000"/>
        <rFont val="Arial"/>
        <family val="2"/>
      </rPr>
      <t>QDR-7C84 (B)</t>
    </r>
  </si>
  <si>
    <t>TRAIN</t>
  </si>
  <si>
    <t>NSK-4C90</t>
  </si>
  <si>
    <t>02 P + 01 VOL</t>
  </si>
  <si>
    <t>LUBRIFICANTES</t>
  </si>
  <si>
    <t>ANEXO</t>
  </si>
  <si>
    <t>T NORTE</t>
  </si>
  <si>
    <t>EUB-5A95</t>
  </si>
  <si>
    <t>36207 / 36208</t>
  </si>
  <si>
    <t>13 P + 08 VOL</t>
  </si>
  <si>
    <t>DIVERSOS FRACIONADA</t>
  </si>
  <si>
    <t>GAB TRANSPORTES</t>
  </si>
  <si>
    <r>
      <rPr>
        <b/>
        <sz val="10"/>
        <color rgb="FF000000"/>
        <rFont val="Arial"/>
      </rPr>
      <t xml:space="preserve">DPF-7393 / </t>
    </r>
    <r>
      <rPr>
        <sz val="10"/>
        <color rgb="FF000000"/>
        <rFont val="Arial"/>
      </rPr>
      <t>JXJ-4026</t>
    </r>
  </si>
  <si>
    <t>28 PLT REMONTADOS</t>
  </si>
  <si>
    <t>VITORIO</t>
  </si>
  <si>
    <r>
      <t xml:space="preserve">DPF-7393 / </t>
    </r>
    <r>
      <rPr>
        <sz val="10"/>
        <color rgb="FF000000"/>
        <rFont val="Arial"/>
        <family val="2"/>
      </rPr>
      <t>EGK-5832</t>
    </r>
  </si>
  <si>
    <t>PROLOGAM</t>
  </si>
  <si>
    <r>
      <t xml:space="preserve">MWT-1E12 / </t>
    </r>
    <r>
      <rPr>
        <sz val="10"/>
        <color theme="1"/>
        <rFont val="Arial"/>
        <family val="2"/>
      </rPr>
      <t>BWT-1F38</t>
    </r>
  </si>
  <si>
    <t>06 VOLUMES</t>
  </si>
  <si>
    <r>
      <rPr>
        <b/>
        <sz val="10"/>
        <color rgb="FF000000"/>
        <rFont val="Arial"/>
      </rPr>
      <t xml:space="preserve">RBW-3H10 / </t>
    </r>
    <r>
      <rPr>
        <sz val="10"/>
        <color rgb="FF000000"/>
        <rFont val="Arial"/>
      </rPr>
      <t>ODR-3H99 (B)</t>
    </r>
  </si>
  <si>
    <t>23 PALETES REM</t>
  </si>
  <si>
    <r>
      <rPr>
        <b/>
        <sz val="10"/>
        <color rgb="FF000000"/>
        <rFont val="Arial"/>
        <family val="2"/>
      </rPr>
      <t xml:space="preserve">RBW-3H10 / </t>
    </r>
    <r>
      <rPr>
        <sz val="10"/>
        <color rgb="FF000000"/>
        <rFont val="Arial"/>
        <family val="2"/>
      </rPr>
      <t>DPB-0A95 (B)</t>
    </r>
  </si>
  <si>
    <t>SUZANO</t>
  </si>
  <si>
    <r>
      <rPr>
        <b/>
        <sz val="10"/>
        <color rgb="FF000000"/>
        <rFont val="Arial"/>
        <family val="2"/>
      </rPr>
      <t xml:space="preserve">ITY-4511 / </t>
    </r>
    <r>
      <rPr>
        <sz val="10"/>
        <color rgb="FF000000"/>
        <rFont val="Arial"/>
        <family val="2"/>
      </rPr>
      <t>INW-8J94</t>
    </r>
  </si>
  <si>
    <t>BATIDA</t>
  </si>
  <si>
    <t>PAPEL</t>
  </si>
  <si>
    <r>
      <rPr>
        <b/>
        <sz val="10"/>
        <color rgb="FF000000"/>
        <rFont val="Arial"/>
        <family val="2"/>
      </rPr>
      <t xml:space="preserve">JTI-3I13 / </t>
    </r>
    <r>
      <rPr>
        <sz val="10"/>
        <color rgb="FF000000"/>
        <rFont val="Arial"/>
        <family val="2"/>
      </rPr>
      <t>CXA-3197</t>
    </r>
  </si>
  <si>
    <r>
      <t xml:space="preserve">MPA-6464 / </t>
    </r>
    <r>
      <rPr>
        <sz val="10"/>
        <color rgb="FF000000"/>
        <rFont val="Arial"/>
        <family val="2"/>
      </rPr>
      <t>JPA-3A08</t>
    </r>
  </si>
  <si>
    <t xml:space="preserve"> ANEXO</t>
  </si>
  <si>
    <r>
      <t xml:space="preserve">JTI-3I13 / </t>
    </r>
    <r>
      <rPr>
        <sz val="10"/>
        <rFont val="Arial"/>
        <family val="2"/>
      </rPr>
      <t>CYB-7904</t>
    </r>
  </si>
  <si>
    <r>
      <t xml:space="preserve">JTI-3I13 / </t>
    </r>
    <r>
      <rPr>
        <sz val="10"/>
        <rFont val="Arial"/>
        <family val="2"/>
      </rPr>
      <t>NXU-6I62</t>
    </r>
  </si>
  <si>
    <t>KRONOS</t>
  </si>
  <si>
    <r>
      <t xml:space="preserve">QIK-1F01 / </t>
    </r>
    <r>
      <rPr>
        <sz val="10"/>
        <rFont val="Arial"/>
        <family val="2"/>
      </rPr>
      <t>IQO-9B68</t>
    </r>
  </si>
  <si>
    <t>VOLUMES</t>
  </si>
  <si>
    <t>CABOS</t>
  </si>
  <si>
    <t>HL SOUZA</t>
  </si>
  <si>
    <r>
      <t xml:space="preserve">OCF-2I35 / </t>
    </r>
    <r>
      <rPr>
        <sz val="10"/>
        <color theme="1"/>
        <rFont val="Arial"/>
        <family val="2"/>
      </rPr>
      <t>AOS-3B26 (B)</t>
    </r>
  </si>
  <si>
    <t>137983 / 137985</t>
  </si>
  <si>
    <t>07 VOLUMES</t>
  </si>
  <si>
    <t>MDF</t>
  </si>
  <si>
    <r>
      <t xml:space="preserve">OCF-2I35 / </t>
    </r>
    <r>
      <rPr>
        <sz val="10"/>
        <color theme="1"/>
        <rFont val="Arial"/>
        <family val="2"/>
      </rPr>
      <t>AOS-3B30 (B)</t>
    </r>
  </si>
  <si>
    <t>08 VOL + 01 P</t>
  </si>
  <si>
    <t>MARIA DA LUZ</t>
  </si>
  <si>
    <r>
      <rPr>
        <b/>
        <sz val="10"/>
        <color rgb="FF000000"/>
        <rFont val="Arial"/>
        <family val="2"/>
      </rPr>
      <t xml:space="preserve">GDC-2B82 / </t>
    </r>
    <r>
      <rPr>
        <sz val="10"/>
        <color rgb="FF000000"/>
        <rFont val="Arial"/>
        <family val="2"/>
      </rPr>
      <t>NGH-3F12 (B)</t>
    </r>
  </si>
  <si>
    <t>16 PALETES</t>
  </si>
  <si>
    <t>GESSO</t>
  </si>
  <si>
    <t>GP BRASIL</t>
  </si>
  <si>
    <r>
      <t xml:space="preserve">PDQ-7617 / </t>
    </r>
    <r>
      <rPr>
        <sz val="10"/>
        <color theme="1"/>
        <rFont val="Arial"/>
        <family val="2"/>
      </rPr>
      <t>PEA-3558</t>
    </r>
  </si>
  <si>
    <t>ALIMENTOS DIVERSOS</t>
  </si>
  <si>
    <t>ALFA</t>
  </si>
  <si>
    <r>
      <rPr>
        <b/>
        <sz val="10"/>
        <color rgb="FF000000"/>
        <rFont val="Arial"/>
      </rPr>
      <t xml:space="preserve">MKA-9H23 / </t>
    </r>
    <r>
      <rPr>
        <sz val="10"/>
        <color rgb="FF000000"/>
        <rFont val="Arial"/>
      </rPr>
      <t>JRB-5G64 (B)</t>
    </r>
  </si>
  <si>
    <t>BAGS</t>
  </si>
  <si>
    <t>FERTILIZANTES</t>
  </si>
  <si>
    <r>
      <rPr>
        <b/>
        <sz val="10"/>
        <color rgb="FF000000"/>
        <rFont val="Arial"/>
      </rPr>
      <t xml:space="preserve">MKA-9H23 / </t>
    </r>
    <r>
      <rPr>
        <sz val="10"/>
        <color rgb="FF000000"/>
        <rFont val="Arial"/>
      </rPr>
      <t>JRB-4h97 (B)</t>
    </r>
  </si>
  <si>
    <t>TRANSROAD</t>
  </si>
  <si>
    <r>
      <t xml:space="preserve">DPF-2H97 / </t>
    </r>
    <r>
      <rPr>
        <sz val="10"/>
        <color theme="1"/>
        <rFont val="Arial"/>
        <family val="2"/>
      </rPr>
      <t>DTA-9I16</t>
    </r>
  </si>
  <si>
    <t>SUPORTES DE TUBULAÇÕES</t>
  </si>
  <si>
    <t>BAUMINAS</t>
  </si>
  <si>
    <r>
      <t xml:space="preserve">CFO-8898 / </t>
    </r>
    <r>
      <rPr>
        <sz val="10"/>
        <color theme="1"/>
        <rFont val="Arial"/>
        <family val="2"/>
      </rPr>
      <t>MPO-1E15</t>
    </r>
  </si>
  <si>
    <t>CROSTA DE HIDRATO</t>
  </si>
  <si>
    <t>COOPERCARGA</t>
  </si>
  <si>
    <r>
      <t xml:space="preserve">AYN-0C26 / </t>
    </r>
    <r>
      <rPr>
        <sz val="10"/>
        <color theme="1"/>
        <rFont val="Arial"/>
        <family val="2"/>
      </rPr>
      <t>QPE-5J28</t>
    </r>
  </si>
  <si>
    <t>PROD DE HIGIENE</t>
  </si>
  <si>
    <t>BELMETAIS</t>
  </si>
  <si>
    <t>OAE-5900</t>
  </si>
  <si>
    <t>1133 / 1134</t>
  </si>
  <si>
    <t>02 P + 05 VOL</t>
  </si>
  <si>
    <t>SUCATA</t>
  </si>
  <si>
    <t>ARMAC</t>
  </si>
  <si>
    <r>
      <t xml:space="preserve">FJV-1G93 / </t>
    </r>
    <r>
      <rPr>
        <sz val="10"/>
        <color theme="1"/>
        <rFont val="Arial"/>
        <family val="2"/>
      </rPr>
      <t>SUL-4F48</t>
    </r>
  </si>
  <si>
    <t>MAQUINA</t>
  </si>
  <si>
    <t>TRATOR DE ESTEIRA</t>
  </si>
  <si>
    <t>PA CARREGADEIRA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</si>
</sst>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"/>
    <numFmt numFmtId="165" formatCode="0.000"/>
    <numFmt numFmtId="166" formatCode="dd/mm/yy;@"/>
  </numFmts>
  <fonts count="1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24"/>
      <color rgb="FF000000"/>
      <name val="Aptos Display"/>
      <family val="1"/>
      <scheme val="major"/>
    </font>
    <font>
      <b/>
      <sz val="24"/>
      <color theme="3" tint="0.39997558519241921"/>
      <name val="Aptos Display"/>
      <family val="1"/>
      <scheme val="major"/>
    </font>
    <font>
      <sz val="10"/>
      <name val="Arial"/>
      <family val="2"/>
    </font>
    <font>
      <sz val="10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>
      <alignment horizontal="center" vertical="center"/>
    </xf>
    <xf numFmtId="0" fontId="0" fillId="2" borderId="0" xfId="0" applyFill="1"/>
    <xf numFmtId="0" fontId="1" fillId="4" borderId="3" xfId="0" applyFont="1" applyFill="1" applyBorder="1" applyAlignment="1" applyProtection="1">
      <alignment horizontal="center" vertical="center" wrapText="1"/>
      <protection locked="0"/>
    </xf>
    <xf numFmtId="165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0" xfId="0" applyNumberFormat="1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5" borderId="5" xfId="0" applyFont="1" applyFill="1" applyBorder="1" applyAlignment="1" applyProtection="1">
      <alignment horizontal="center" vertical="center" wrapText="1"/>
      <protection locked="0"/>
    </xf>
    <xf numFmtId="0" fontId="1" fillId="6" borderId="6" xfId="0" applyFont="1" applyFill="1" applyBorder="1" applyAlignment="1" applyProtection="1">
      <alignment horizontal="center" vertical="center" wrapText="1"/>
      <protection locked="0"/>
    </xf>
    <xf numFmtId="166" fontId="1" fillId="2" borderId="7" xfId="0" applyNumberFormat="1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164" fontId="1" fillId="2" borderId="7" xfId="0" applyNumberFormat="1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1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166" fontId="5" fillId="0" borderId="7" xfId="0" applyNumberFormat="1" applyFont="1" applyBorder="1" applyAlignment="1">
      <alignment horizontal="center" vertical="center" shrinkToFit="1"/>
    </xf>
    <xf numFmtId="1" fontId="5" fillId="0" borderId="7" xfId="0" applyNumberFormat="1" applyFont="1" applyBorder="1" applyAlignment="1">
      <alignment horizontal="center" vertical="center" shrinkToFit="1"/>
    </xf>
    <xf numFmtId="16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vertical="center"/>
    </xf>
    <xf numFmtId="44" fontId="8" fillId="2" borderId="7" xfId="0" applyNumberFormat="1" applyFont="1" applyFill="1" applyBorder="1" applyAlignment="1">
      <alignment horizontal="center" vertical="center" readingOrder="1"/>
    </xf>
    <xf numFmtId="22" fontId="8" fillId="2" borderId="7" xfId="0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44" fontId="8" fillId="0" borderId="7" xfId="0" applyNumberFormat="1" applyFont="1" applyBorder="1" applyAlignment="1">
      <alignment horizontal="center" vertical="center" readingOrder="1"/>
    </xf>
    <xf numFmtId="22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44" fontId="4" fillId="2" borderId="7" xfId="0" applyNumberFormat="1" applyFont="1" applyFill="1" applyBorder="1" applyAlignment="1">
      <alignment horizontal="center" vertical="center" readingOrder="1"/>
    </xf>
    <xf numFmtId="22" fontId="4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44" fontId="5" fillId="0" borderId="7" xfId="0" applyNumberFormat="1" applyFont="1" applyBorder="1" applyAlignment="1">
      <alignment horizontal="center" vertical="center" readingOrder="1"/>
    </xf>
    <xf numFmtId="22" fontId="5" fillId="0" borderId="7" xfId="0" applyNumberFormat="1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371474</xdr:colOff>
      <xdr:row>0</xdr:row>
      <xdr:rowOff>152400</xdr:rowOff>
    </xdr:from>
    <xdr:ext cx="1590675" cy="600525"/>
    <xdr:pic>
      <xdr:nvPicPr>
        <xdr:cNvPr id="2" name="Imagem 5">
          <a:extLst>
            <a:ext uri="{FF2B5EF4-FFF2-40B4-BE49-F238E27FC236}">
              <a16:creationId xmlns:a16="http://schemas.microsoft.com/office/drawing/2014/main" id="{4B4F96C8-62ED-42B3-893A-D0360A1AE934}"/>
            </a:ext>
            <a:ext uri="{147F2762-F138-4A5C-976F-8EAC2B608ADB}">
              <a16:predDERef xmlns:a16="http://schemas.microsoft.com/office/drawing/2014/main" pred="{74B24E0A-F253-46F1-A7C4-19350FF0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152400"/>
          <a:ext cx="1590675" cy="600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182E-EB24-48D9-89E8-959A7A84680D}">
  <dimension ref="A1:O48"/>
  <sheetViews>
    <sheetView tabSelected="1" workbookViewId="0">
      <selection activeCell="R1" sqref="R1"/>
    </sheetView>
  </sheetViews>
  <sheetFormatPr defaultRowHeight="14.4" x14ac:dyDescent="0.3"/>
  <cols>
    <col min="1" max="1" width="12.44140625" customWidth="1"/>
    <col min="2" max="2" width="18.109375" customWidth="1"/>
    <col min="3" max="3" width="30.77734375" customWidth="1"/>
    <col min="4" max="4" width="29.6640625" customWidth="1"/>
    <col min="5" max="5" width="26.21875" customWidth="1"/>
    <col min="6" max="6" width="30.33203125" customWidth="1"/>
    <col min="7" max="7" width="35.5546875" customWidth="1"/>
    <col min="8" max="8" width="29.88671875" customWidth="1"/>
    <col min="9" max="9" width="65.44140625" customWidth="1"/>
    <col min="10" max="10" width="46" customWidth="1"/>
    <col min="11" max="11" width="24.109375" customWidth="1"/>
    <col min="12" max="12" width="35.77734375" customWidth="1"/>
    <col min="13" max="13" width="27.88671875" customWidth="1"/>
    <col min="14" max="14" width="23.33203125" customWidth="1"/>
    <col min="15" max="15" width="21.44140625" customWidth="1"/>
  </cols>
  <sheetData>
    <row r="1" spans="1:15" ht="52.8" x14ac:dyDescent="0.3">
      <c r="A1" s="1"/>
      <c r="B1" s="1"/>
      <c r="C1" s="1"/>
      <c r="D1" s="2" t="s">
        <v>0</v>
      </c>
      <c r="E1" s="2"/>
      <c r="F1" s="2"/>
      <c r="G1" s="2"/>
      <c r="H1" s="2"/>
      <c r="I1" s="2"/>
      <c r="J1" s="3"/>
      <c r="K1" s="4" t="s">
        <v>1</v>
      </c>
      <c r="L1" s="5" t="s">
        <v>2</v>
      </c>
      <c r="M1" s="6"/>
      <c r="N1" s="6"/>
      <c r="O1" s="7"/>
    </row>
    <row r="2" spans="1:15" ht="26.4" x14ac:dyDescent="0.3">
      <c r="A2" s="1"/>
      <c r="B2" s="1"/>
      <c r="C2" s="1"/>
      <c r="D2" s="2"/>
      <c r="E2" s="2"/>
      <c r="F2" s="2"/>
      <c r="G2" s="2"/>
      <c r="H2" s="2"/>
      <c r="I2" s="2"/>
      <c r="J2" s="8"/>
      <c r="K2" s="9" t="s">
        <v>3</v>
      </c>
      <c r="L2" s="5"/>
      <c r="M2" s="6"/>
      <c r="N2" s="6"/>
      <c r="O2" s="7"/>
    </row>
    <row r="3" spans="1:15" ht="26.4" x14ac:dyDescent="0.3">
      <c r="A3" s="1"/>
      <c r="B3" s="1"/>
      <c r="C3" s="1"/>
      <c r="D3" s="2"/>
      <c r="E3" s="2"/>
      <c r="F3" s="2"/>
      <c r="G3" s="2"/>
      <c r="H3" s="2"/>
      <c r="I3" s="2"/>
      <c r="J3" s="8"/>
      <c r="K3" s="10" t="s">
        <v>4</v>
      </c>
      <c r="L3" s="5"/>
      <c r="M3" s="6"/>
      <c r="N3" s="6"/>
      <c r="O3" s="7"/>
    </row>
    <row r="4" spans="1:15" ht="39.6" x14ac:dyDescent="0.3">
      <c r="A4" s="11" t="s">
        <v>5</v>
      </c>
      <c r="B4" s="12" t="s">
        <v>6</v>
      </c>
      <c r="C4" s="13" t="s">
        <v>7</v>
      </c>
      <c r="D4" s="12" t="s">
        <v>8</v>
      </c>
      <c r="E4" s="12" t="s">
        <v>9</v>
      </c>
      <c r="F4" s="14" t="s">
        <v>10</v>
      </c>
      <c r="G4" s="14" t="s">
        <v>11</v>
      </c>
      <c r="H4" s="15" t="s">
        <v>12</v>
      </c>
      <c r="I4" s="12" t="s">
        <v>13</v>
      </c>
      <c r="J4" s="16" t="s">
        <v>14</v>
      </c>
      <c r="K4" s="16" t="s">
        <v>15</v>
      </c>
      <c r="L4" s="12" t="s">
        <v>16</v>
      </c>
      <c r="M4" s="12" t="s">
        <v>17</v>
      </c>
      <c r="N4" s="17" t="s">
        <v>18</v>
      </c>
      <c r="O4" s="12" t="s">
        <v>19</v>
      </c>
    </row>
    <row r="5" spans="1:15" x14ac:dyDescent="0.3">
      <c r="A5" s="18">
        <v>45994</v>
      </c>
      <c r="B5" s="19">
        <v>12</v>
      </c>
      <c r="C5" s="20">
        <f>IF(A5=A4,C4+1,1)</f>
        <v>1</v>
      </c>
      <c r="D5" s="21" t="s">
        <v>20</v>
      </c>
      <c r="E5" s="21" t="s">
        <v>21</v>
      </c>
      <c r="F5" s="22" t="s">
        <v>22</v>
      </c>
      <c r="G5" s="23" t="s">
        <v>23</v>
      </c>
      <c r="H5" s="24">
        <v>77</v>
      </c>
      <c r="I5" s="24" t="s">
        <v>24</v>
      </c>
      <c r="J5" s="25">
        <v>21376</v>
      </c>
      <c r="K5" s="26">
        <v>0.01</v>
      </c>
      <c r="L5" s="27" t="s">
        <v>25</v>
      </c>
      <c r="M5" s="27"/>
      <c r="N5" s="28" t="s">
        <v>26</v>
      </c>
      <c r="O5" s="24" t="s">
        <v>27</v>
      </c>
    </row>
    <row r="6" spans="1:15" x14ac:dyDescent="0.3">
      <c r="A6" s="18">
        <v>45994</v>
      </c>
      <c r="B6" s="19">
        <v>12</v>
      </c>
      <c r="C6" s="20">
        <f t="shared" ref="C6:C48" si="0">IF(A6=A5,C5+1,1)</f>
        <v>2</v>
      </c>
      <c r="D6" s="21" t="s">
        <v>20</v>
      </c>
      <c r="E6" s="21" t="s">
        <v>21</v>
      </c>
      <c r="F6" s="22" t="s">
        <v>28</v>
      </c>
      <c r="G6" s="23" t="s">
        <v>29</v>
      </c>
      <c r="H6" s="24">
        <v>66</v>
      </c>
      <c r="I6" s="24" t="s">
        <v>30</v>
      </c>
      <c r="J6" s="25">
        <v>18842</v>
      </c>
      <c r="K6" s="26">
        <v>0.01</v>
      </c>
      <c r="L6" s="27">
        <v>45993.888888888891</v>
      </c>
      <c r="M6" s="27"/>
      <c r="N6" s="28" t="s">
        <v>31</v>
      </c>
      <c r="O6" s="24" t="s">
        <v>27</v>
      </c>
    </row>
    <row r="7" spans="1:15" x14ac:dyDescent="0.3">
      <c r="A7" s="18">
        <v>45994</v>
      </c>
      <c r="B7" s="19">
        <v>12</v>
      </c>
      <c r="C7" s="20">
        <f t="shared" si="0"/>
        <v>3</v>
      </c>
      <c r="D7" s="21" t="s">
        <v>20</v>
      </c>
      <c r="E7" s="21" t="s">
        <v>21</v>
      </c>
      <c r="F7" s="22" t="s">
        <v>32</v>
      </c>
      <c r="G7" s="23" t="s">
        <v>33</v>
      </c>
      <c r="H7" s="24">
        <v>66</v>
      </c>
      <c r="I7" s="24" t="s">
        <v>30</v>
      </c>
      <c r="J7" s="25">
        <v>19576</v>
      </c>
      <c r="K7" s="26">
        <v>0.01</v>
      </c>
      <c r="L7" s="27">
        <v>45993.888888888891</v>
      </c>
      <c r="M7" s="27"/>
      <c r="N7" s="28" t="s">
        <v>31</v>
      </c>
      <c r="O7" s="24" t="s">
        <v>27</v>
      </c>
    </row>
    <row r="8" spans="1:15" x14ac:dyDescent="0.3">
      <c r="A8" s="18">
        <v>45994</v>
      </c>
      <c r="B8" s="19">
        <v>12</v>
      </c>
      <c r="C8" s="20">
        <f t="shared" si="0"/>
        <v>4</v>
      </c>
      <c r="D8" s="21" t="s">
        <v>20</v>
      </c>
      <c r="E8" s="21" t="s">
        <v>21</v>
      </c>
      <c r="F8" s="22" t="s">
        <v>34</v>
      </c>
      <c r="G8" s="23" t="s">
        <v>35</v>
      </c>
      <c r="H8" s="24">
        <v>781</v>
      </c>
      <c r="I8" s="24" t="s">
        <v>36</v>
      </c>
      <c r="J8" s="25">
        <v>19777</v>
      </c>
      <c r="K8" s="26">
        <v>0.01</v>
      </c>
      <c r="L8" s="27">
        <v>45994.46875</v>
      </c>
      <c r="M8" s="27"/>
      <c r="N8" s="29" t="s">
        <v>31</v>
      </c>
      <c r="O8" s="24" t="s">
        <v>27</v>
      </c>
    </row>
    <row r="9" spans="1:15" x14ac:dyDescent="0.3">
      <c r="A9" s="18">
        <v>45994</v>
      </c>
      <c r="B9" s="19">
        <v>12</v>
      </c>
      <c r="C9" s="20">
        <f t="shared" si="0"/>
        <v>5</v>
      </c>
      <c r="D9" s="21" t="s">
        <v>20</v>
      </c>
      <c r="E9" s="21" t="s">
        <v>21</v>
      </c>
      <c r="F9" s="22" t="s">
        <v>37</v>
      </c>
      <c r="G9" s="23" t="s">
        <v>38</v>
      </c>
      <c r="H9" s="24">
        <v>72</v>
      </c>
      <c r="I9" s="24" t="s">
        <v>36</v>
      </c>
      <c r="J9" s="25">
        <v>19098</v>
      </c>
      <c r="K9" s="26">
        <v>0.01</v>
      </c>
      <c r="L9" s="27">
        <v>45994.46875</v>
      </c>
      <c r="M9" s="27"/>
      <c r="N9" s="29" t="s">
        <v>31</v>
      </c>
      <c r="O9" s="24" t="s">
        <v>27</v>
      </c>
    </row>
    <row r="10" spans="1:15" x14ac:dyDescent="0.3">
      <c r="A10" s="18">
        <v>45994</v>
      </c>
      <c r="B10" s="19">
        <v>12</v>
      </c>
      <c r="C10" s="20">
        <f t="shared" si="0"/>
        <v>6</v>
      </c>
      <c r="D10" s="21" t="s">
        <v>20</v>
      </c>
      <c r="E10" s="21" t="s">
        <v>21</v>
      </c>
      <c r="F10" s="22" t="s">
        <v>39</v>
      </c>
      <c r="G10" s="23" t="s">
        <v>40</v>
      </c>
      <c r="H10" s="24">
        <v>516</v>
      </c>
      <c r="I10" s="24" t="s">
        <v>41</v>
      </c>
      <c r="J10" s="25">
        <v>19348</v>
      </c>
      <c r="K10" s="26">
        <v>0.01</v>
      </c>
      <c r="L10" s="27">
        <v>45994.45208333333</v>
      </c>
      <c r="M10" s="27"/>
      <c r="N10" s="29" t="s">
        <v>31</v>
      </c>
      <c r="O10" s="24" t="s">
        <v>27</v>
      </c>
    </row>
    <row r="11" spans="1:15" x14ac:dyDescent="0.3">
      <c r="A11" s="18">
        <v>45994</v>
      </c>
      <c r="B11" s="19">
        <v>12</v>
      </c>
      <c r="C11" s="20">
        <f t="shared" si="0"/>
        <v>7</v>
      </c>
      <c r="D11" s="21" t="s">
        <v>20</v>
      </c>
      <c r="E11" s="21" t="s">
        <v>21</v>
      </c>
      <c r="F11" s="22" t="s">
        <v>42</v>
      </c>
      <c r="G11" s="23" t="s">
        <v>43</v>
      </c>
      <c r="H11" s="24">
        <v>390</v>
      </c>
      <c r="I11" s="24" t="s">
        <v>41</v>
      </c>
      <c r="J11" s="25">
        <v>20676</v>
      </c>
      <c r="K11" s="26">
        <v>0.01</v>
      </c>
      <c r="L11" s="27">
        <v>45994.45208333333</v>
      </c>
      <c r="M11" s="27"/>
      <c r="N11" s="29" t="s">
        <v>31</v>
      </c>
      <c r="O11" s="24" t="s">
        <v>27</v>
      </c>
    </row>
    <row r="12" spans="1:15" x14ac:dyDescent="0.3">
      <c r="A12" s="18">
        <v>45994</v>
      </c>
      <c r="B12" s="19">
        <v>12</v>
      </c>
      <c r="C12" s="20">
        <f t="shared" si="0"/>
        <v>8</v>
      </c>
      <c r="D12" s="21" t="s">
        <v>20</v>
      </c>
      <c r="E12" s="21" t="s">
        <v>21</v>
      </c>
      <c r="F12" s="30"/>
      <c r="G12" s="24"/>
      <c r="H12" s="24"/>
      <c r="I12" s="31"/>
      <c r="J12" s="25"/>
      <c r="K12" s="26"/>
      <c r="L12" s="27"/>
      <c r="M12" s="27"/>
      <c r="N12" s="29"/>
      <c r="O12" s="24"/>
    </row>
    <row r="13" spans="1:15" x14ac:dyDescent="0.3">
      <c r="A13" s="18">
        <v>45994</v>
      </c>
      <c r="B13" s="19">
        <v>12</v>
      </c>
      <c r="C13" s="20">
        <f t="shared" si="0"/>
        <v>9</v>
      </c>
      <c r="D13" s="21" t="s">
        <v>20</v>
      </c>
      <c r="E13" s="21" t="s">
        <v>21</v>
      </c>
      <c r="F13" s="22" t="s">
        <v>44</v>
      </c>
      <c r="G13" s="23" t="s">
        <v>45</v>
      </c>
      <c r="H13" s="24">
        <v>84</v>
      </c>
      <c r="I13" s="31" t="s">
        <v>46</v>
      </c>
      <c r="J13" s="25">
        <v>20230</v>
      </c>
      <c r="K13" s="26">
        <v>0.01</v>
      </c>
      <c r="L13" s="27">
        <v>45994.333333333336</v>
      </c>
      <c r="M13" s="27"/>
      <c r="N13" s="28" t="s">
        <v>31</v>
      </c>
      <c r="O13" s="24" t="s">
        <v>27</v>
      </c>
    </row>
    <row r="14" spans="1:15" x14ac:dyDescent="0.3">
      <c r="A14" s="18">
        <v>45994</v>
      </c>
      <c r="B14" s="19">
        <v>12</v>
      </c>
      <c r="C14" s="20">
        <f t="shared" si="0"/>
        <v>10</v>
      </c>
      <c r="D14" s="21" t="s">
        <v>20</v>
      </c>
      <c r="E14" s="21" t="s">
        <v>21</v>
      </c>
      <c r="F14" s="32" t="s">
        <v>47</v>
      </c>
      <c r="G14" s="33" t="s">
        <v>48</v>
      </c>
      <c r="H14" s="24">
        <v>84</v>
      </c>
      <c r="I14" s="31" t="s">
        <v>46</v>
      </c>
      <c r="J14" s="25">
        <v>19952</v>
      </c>
      <c r="K14" s="26">
        <v>0.01</v>
      </c>
      <c r="L14" s="27">
        <v>45994.511805555558</v>
      </c>
      <c r="M14" s="27"/>
      <c r="N14" s="29" t="s">
        <v>49</v>
      </c>
      <c r="O14" s="24" t="s">
        <v>27</v>
      </c>
    </row>
    <row r="15" spans="1:15" x14ac:dyDescent="0.3">
      <c r="A15" s="18">
        <v>45994</v>
      </c>
      <c r="B15" s="19">
        <v>12</v>
      </c>
      <c r="C15" s="20">
        <f t="shared" si="0"/>
        <v>11</v>
      </c>
      <c r="D15" s="21" t="s">
        <v>20</v>
      </c>
      <c r="E15" s="21" t="s">
        <v>21</v>
      </c>
      <c r="F15" s="32" t="s">
        <v>50</v>
      </c>
      <c r="G15" s="33" t="s">
        <v>51</v>
      </c>
      <c r="H15" s="24">
        <v>84</v>
      </c>
      <c r="I15" s="31" t="s">
        <v>46</v>
      </c>
      <c r="J15" s="25">
        <v>20991</v>
      </c>
      <c r="K15" s="26">
        <v>0.01</v>
      </c>
      <c r="L15" s="27">
        <v>45994.647916666669</v>
      </c>
      <c r="M15" s="27"/>
      <c r="N15" s="29" t="s">
        <v>49</v>
      </c>
      <c r="O15" s="24" t="s">
        <v>27</v>
      </c>
    </row>
    <row r="16" spans="1:15" x14ac:dyDescent="0.3">
      <c r="A16" s="18">
        <v>45994</v>
      </c>
      <c r="B16" s="19">
        <v>12</v>
      </c>
      <c r="C16" s="20">
        <f t="shared" si="0"/>
        <v>12</v>
      </c>
      <c r="D16" s="21" t="s">
        <v>20</v>
      </c>
      <c r="E16" s="21" t="s">
        <v>21</v>
      </c>
      <c r="F16" s="22" t="s">
        <v>52</v>
      </c>
      <c r="G16" s="23" t="s">
        <v>53</v>
      </c>
      <c r="H16" s="24">
        <v>73</v>
      </c>
      <c r="I16" s="31" t="s">
        <v>54</v>
      </c>
      <c r="J16" s="25">
        <v>19027</v>
      </c>
      <c r="K16" s="26">
        <v>0.01</v>
      </c>
      <c r="L16" s="27">
        <v>45994.572916666664</v>
      </c>
      <c r="M16" s="27"/>
      <c r="N16" s="29" t="s">
        <v>31</v>
      </c>
      <c r="O16" s="24" t="s">
        <v>27</v>
      </c>
    </row>
    <row r="17" spans="1:15" x14ac:dyDescent="0.3">
      <c r="A17" s="18">
        <v>45994</v>
      </c>
      <c r="B17" s="19">
        <v>12</v>
      </c>
      <c r="C17" s="20">
        <f t="shared" si="0"/>
        <v>13</v>
      </c>
      <c r="D17" s="21" t="s">
        <v>20</v>
      </c>
      <c r="E17" s="21" t="s">
        <v>21</v>
      </c>
      <c r="F17" s="22" t="s">
        <v>55</v>
      </c>
      <c r="G17" s="23" t="s">
        <v>56</v>
      </c>
      <c r="H17" s="24">
        <v>76</v>
      </c>
      <c r="I17" s="31" t="s">
        <v>54</v>
      </c>
      <c r="J17" s="25">
        <v>19510</v>
      </c>
      <c r="K17" s="26">
        <v>0.01</v>
      </c>
      <c r="L17" s="27">
        <v>45994.460416666669</v>
      </c>
      <c r="M17" s="27"/>
      <c r="N17" s="29" t="s">
        <v>31</v>
      </c>
      <c r="O17" s="24" t="s">
        <v>27</v>
      </c>
    </row>
    <row r="18" spans="1:15" x14ac:dyDescent="0.3">
      <c r="A18" s="18">
        <v>45994</v>
      </c>
      <c r="B18" s="19">
        <v>12</v>
      </c>
      <c r="C18" s="20">
        <f t="shared" si="0"/>
        <v>14</v>
      </c>
      <c r="D18" s="34" t="s">
        <v>57</v>
      </c>
      <c r="E18" s="34" t="s">
        <v>58</v>
      </c>
      <c r="F18" s="22" t="s">
        <v>59</v>
      </c>
      <c r="G18" s="35">
        <v>378</v>
      </c>
      <c r="H18" s="34" t="s">
        <v>60</v>
      </c>
      <c r="I18" s="36" t="s">
        <v>61</v>
      </c>
      <c r="J18" s="37">
        <v>7429</v>
      </c>
      <c r="K18" s="38">
        <v>164220.65</v>
      </c>
      <c r="L18" s="39">
        <v>45993.663888888892</v>
      </c>
      <c r="M18" s="39"/>
      <c r="N18" s="28" t="s">
        <v>31</v>
      </c>
      <c r="O18" s="40" t="s">
        <v>62</v>
      </c>
    </row>
    <row r="19" spans="1:15" x14ac:dyDescent="0.3">
      <c r="A19" s="18">
        <v>45994</v>
      </c>
      <c r="B19" s="19">
        <v>12</v>
      </c>
      <c r="C19" s="20">
        <f t="shared" si="0"/>
        <v>15</v>
      </c>
      <c r="D19" s="34" t="s">
        <v>57</v>
      </c>
      <c r="E19" s="34" t="s">
        <v>58</v>
      </c>
      <c r="F19" s="22" t="s">
        <v>63</v>
      </c>
      <c r="G19" s="35">
        <v>378</v>
      </c>
      <c r="H19" s="34" t="s">
        <v>60</v>
      </c>
      <c r="I19" s="36" t="s">
        <v>61</v>
      </c>
      <c r="J19" s="37">
        <v>7429</v>
      </c>
      <c r="K19" s="38">
        <v>164220.65</v>
      </c>
      <c r="L19" s="39">
        <v>45993.663888888892</v>
      </c>
      <c r="M19" s="39"/>
      <c r="N19" s="28" t="s">
        <v>31</v>
      </c>
      <c r="O19" s="40" t="s">
        <v>62</v>
      </c>
    </row>
    <row r="20" spans="1:15" x14ac:dyDescent="0.3">
      <c r="A20" s="18">
        <v>45994</v>
      </c>
      <c r="B20" s="19">
        <v>12</v>
      </c>
      <c r="C20" s="20">
        <f t="shared" si="0"/>
        <v>16</v>
      </c>
      <c r="D20" s="34" t="s">
        <v>64</v>
      </c>
      <c r="E20" s="34" t="s">
        <v>58</v>
      </c>
      <c r="F20" s="22" t="s">
        <v>65</v>
      </c>
      <c r="G20" s="35">
        <v>8714</v>
      </c>
      <c r="H20" s="36" t="s">
        <v>60</v>
      </c>
      <c r="I20" s="34" t="s">
        <v>66</v>
      </c>
      <c r="J20" s="37">
        <v>11402</v>
      </c>
      <c r="K20" s="38">
        <v>12886.82</v>
      </c>
      <c r="L20" s="39">
        <v>45993.741666666669</v>
      </c>
      <c r="M20" s="39"/>
      <c r="N20" s="28" t="s">
        <v>31</v>
      </c>
      <c r="O20" s="40" t="s">
        <v>62</v>
      </c>
    </row>
    <row r="21" spans="1:15" x14ac:dyDescent="0.3">
      <c r="A21" s="18">
        <v>45994</v>
      </c>
      <c r="B21" s="19">
        <v>12</v>
      </c>
      <c r="C21" s="20">
        <f t="shared" si="0"/>
        <v>17</v>
      </c>
      <c r="D21" s="34" t="s">
        <v>67</v>
      </c>
      <c r="E21" s="34" t="s">
        <v>58</v>
      </c>
      <c r="F21" s="22" t="s">
        <v>68</v>
      </c>
      <c r="G21" s="35">
        <v>8715</v>
      </c>
      <c r="H21" s="36" t="s">
        <v>60</v>
      </c>
      <c r="I21" s="34" t="s">
        <v>66</v>
      </c>
      <c r="J21" s="37">
        <v>42480</v>
      </c>
      <c r="K21" s="38">
        <v>44049.63</v>
      </c>
      <c r="L21" s="39">
        <v>45993.741666666669</v>
      </c>
      <c r="M21" s="39"/>
      <c r="N21" s="28" t="s">
        <v>31</v>
      </c>
      <c r="O21" s="40" t="s">
        <v>62</v>
      </c>
    </row>
    <row r="22" spans="1:15" x14ac:dyDescent="0.3">
      <c r="A22" s="18">
        <v>45994</v>
      </c>
      <c r="B22" s="19">
        <v>12</v>
      </c>
      <c r="C22" s="20">
        <f t="shared" si="0"/>
        <v>18</v>
      </c>
      <c r="D22" s="41" t="s">
        <v>69</v>
      </c>
      <c r="E22" s="41" t="s">
        <v>58</v>
      </c>
      <c r="F22" s="32" t="s">
        <v>70</v>
      </c>
      <c r="G22" s="42">
        <v>2440</v>
      </c>
      <c r="H22" s="43" t="s">
        <v>71</v>
      </c>
      <c r="I22" s="41" t="s">
        <v>72</v>
      </c>
      <c r="J22" s="37">
        <v>4221</v>
      </c>
      <c r="K22" s="38">
        <v>89840.3</v>
      </c>
      <c r="L22" s="39">
        <v>45994.521527777775</v>
      </c>
      <c r="M22" s="39">
        <v>45994.56527777778</v>
      </c>
      <c r="N22" s="12" t="s">
        <v>73</v>
      </c>
      <c r="O22" s="40" t="s">
        <v>62</v>
      </c>
    </row>
    <row r="23" spans="1:15" x14ac:dyDescent="0.3">
      <c r="A23" s="18">
        <v>45994</v>
      </c>
      <c r="B23" s="19">
        <v>12</v>
      </c>
      <c r="C23" s="20">
        <f t="shared" si="0"/>
        <v>19</v>
      </c>
      <c r="D23" s="34" t="s">
        <v>74</v>
      </c>
      <c r="E23" s="34" t="s">
        <v>58</v>
      </c>
      <c r="F23" s="44" t="s">
        <v>75</v>
      </c>
      <c r="G23" s="35" t="s">
        <v>76</v>
      </c>
      <c r="H23" s="36" t="s">
        <v>77</v>
      </c>
      <c r="I23" s="41" t="s">
        <v>78</v>
      </c>
      <c r="J23" s="37">
        <v>17285</v>
      </c>
      <c r="K23" s="38">
        <v>717304.66</v>
      </c>
      <c r="L23" s="39">
        <v>45993.582638888889</v>
      </c>
      <c r="M23" s="39">
        <v>45993.663194444445</v>
      </c>
      <c r="N23" s="28" t="s">
        <v>31</v>
      </c>
      <c r="O23" s="40" t="s">
        <v>62</v>
      </c>
    </row>
    <row r="24" spans="1:15" x14ac:dyDescent="0.3">
      <c r="A24" s="18">
        <v>45994</v>
      </c>
      <c r="B24" s="19">
        <v>12</v>
      </c>
      <c r="C24" s="20">
        <f t="shared" si="0"/>
        <v>20</v>
      </c>
      <c r="D24" s="40" t="s">
        <v>79</v>
      </c>
      <c r="E24" s="34" t="s">
        <v>58</v>
      </c>
      <c r="F24" s="22" t="s">
        <v>80</v>
      </c>
      <c r="G24" s="35">
        <v>45652</v>
      </c>
      <c r="H24" s="36" t="s">
        <v>81</v>
      </c>
      <c r="I24" s="41" t="s">
        <v>78</v>
      </c>
      <c r="J24" s="37">
        <v>2136</v>
      </c>
      <c r="K24" s="38">
        <v>37042.379999999997</v>
      </c>
      <c r="L24" s="39">
        <v>45993.673611111109</v>
      </c>
      <c r="M24" s="39">
        <v>45993.753472222219</v>
      </c>
      <c r="N24" s="28" t="s">
        <v>31</v>
      </c>
      <c r="O24" s="40" t="s">
        <v>82</v>
      </c>
    </row>
    <row r="25" spans="1:15" x14ac:dyDescent="0.3">
      <c r="A25" s="18">
        <v>45994</v>
      </c>
      <c r="B25" s="19">
        <v>12</v>
      </c>
      <c r="C25" s="20">
        <f t="shared" si="0"/>
        <v>21</v>
      </c>
      <c r="D25" s="40" t="s">
        <v>79</v>
      </c>
      <c r="E25" s="34" t="s">
        <v>58</v>
      </c>
      <c r="F25" s="30" t="s">
        <v>83</v>
      </c>
      <c r="G25" s="45">
        <v>45672</v>
      </c>
      <c r="H25" s="46" t="s">
        <v>60</v>
      </c>
      <c r="I25" s="34" t="s">
        <v>78</v>
      </c>
      <c r="J25" s="47">
        <v>2136</v>
      </c>
      <c r="K25" s="38">
        <v>37042.379999999997</v>
      </c>
      <c r="L25" s="27">
        <v>45994.64166666667</v>
      </c>
      <c r="M25" s="27"/>
      <c r="N25" s="29" t="s">
        <v>26</v>
      </c>
      <c r="O25" s="40" t="s">
        <v>82</v>
      </c>
    </row>
    <row r="26" spans="1:15" x14ac:dyDescent="0.3">
      <c r="A26" s="18">
        <v>45994</v>
      </c>
      <c r="B26" s="19">
        <v>12</v>
      </c>
      <c r="C26" s="20">
        <f t="shared" si="0"/>
        <v>22</v>
      </c>
      <c r="D26" s="24" t="s">
        <v>84</v>
      </c>
      <c r="E26" s="24" t="s">
        <v>58</v>
      </c>
      <c r="F26" s="48" t="s">
        <v>85</v>
      </c>
      <c r="G26" s="23">
        <v>1068</v>
      </c>
      <c r="H26" s="24" t="s">
        <v>86</v>
      </c>
      <c r="I26" s="41" t="s">
        <v>78</v>
      </c>
      <c r="J26" s="25">
        <v>9343</v>
      </c>
      <c r="K26" s="26">
        <v>206294.18</v>
      </c>
      <c r="L26" s="27">
        <v>45993.381249999999</v>
      </c>
      <c r="M26" s="27">
        <v>45993.433333333334</v>
      </c>
      <c r="N26" s="28" t="s">
        <v>31</v>
      </c>
      <c r="O26" s="24" t="s">
        <v>62</v>
      </c>
    </row>
    <row r="27" spans="1:15" x14ac:dyDescent="0.3">
      <c r="A27" s="18">
        <v>45994</v>
      </c>
      <c r="B27" s="19">
        <v>12</v>
      </c>
      <c r="C27" s="20">
        <f t="shared" si="0"/>
        <v>23</v>
      </c>
      <c r="D27" s="49" t="s">
        <v>57</v>
      </c>
      <c r="E27" s="45" t="s">
        <v>58</v>
      </c>
      <c r="F27" s="22" t="s">
        <v>87</v>
      </c>
      <c r="G27" s="35">
        <v>376</v>
      </c>
      <c r="H27" s="50" t="s">
        <v>88</v>
      </c>
      <c r="I27" s="51" t="s">
        <v>61</v>
      </c>
      <c r="J27" s="47">
        <v>7120</v>
      </c>
      <c r="K27" s="26">
        <v>157378.10999999999</v>
      </c>
      <c r="L27" s="27">
        <v>45993.443055555559</v>
      </c>
      <c r="M27" s="27">
        <v>45993.694444444445</v>
      </c>
      <c r="N27" s="28" t="s">
        <v>31</v>
      </c>
      <c r="O27" s="24" t="s">
        <v>62</v>
      </c>
    </row>
    <row r="28" spans="1:15" x14ac:dyDescent="0.3">
      <c r="A28" s="18">
        <v>45994</v>
      </c>
      <c r="B28" s="19">
        <v>12</v>
      </c>
      <c r="C28" s="20">
        <f t="shared" si="0"/>
        <v>24</v>
      </c>
      <c r="D28" s="49" t="s">
        <v>57</v>
      </c>
      <c r="E28" s="45" t="s">
        <v>58</v>
      </c>
      <c r="F28" s="22" t="s">
        <v>89</v>
      </c>
      <c r="G28" s="35">
        <v>376</v>
      </c>
      <c r="H28" s="50" t="s">
        <v>88</v>
      </c>
      <c r="I28" s="52" t="s">
        <v>61</v>
      </c>
      <c r="J28" s="47">
        <v>7120</v>
      </c>
      <c r="K28" s="26">
        <v>157378.10999999999</v>
      </c>
      <c r="L28" s="27">
        <v>45993.443055555559</v>
      </c>
      <c r="M28" s="27">
        <v>45993.694444444445</v>
      </c>
      <c r="N28" s="28" t="s">
        <v>31</v>
      </c>
      <c r="O28" s="24" t="s">
        <v>62</v>
      </c>
    </row>
    <row r="29" spans="1:15" x14ac:dyDescent="0.3">
      <c r="A29" s="18">
        <v>45994</v>
      </c>
      <c r="B29" s="19">
        <v>12</v>
      </c>
      <c r="C29" s="20">
        <f t="shared" si="0"/>
        <v>25</v>
      </c>
      <c r="D29" s="45" t="s">
        <v>90</v>
      </c>
      <c r="E29" s="45" t="s">
        <v>58</v>
      </c>
      <c r="F29" s="22" t="s">
        <v>91</v>
      </c>
      <c r="G29" s="35">
        <v>21944740</v>
      </c>
      <c r="H29" s="45" t="s">
        <v>92</v>
      </c>
      <c r="I29" s="45" t="s">
        <v>93</v>
      </c>
      <c r="J29" s="47">
        <v>6336</v>
      </c>
      <c r="K29" s="26">
        <v>77749.72</v>
      </c>
      <c r="L29" s="27">
        <v>45988.643750000003</v>
      </c>
      <c r="M29" s="27"/>
      <c r="N29" s="53" t="s">
        <v>31</v>
      </c>
      <c r="O29" s="24" t="s">
        <v>82</v>
      </c>
    </row>
    <row r="30" spans="1:15" x14ac:dyDescent="0.3">
      <c r="A30" s="18">
        <v>45994</v>
      </c>
      <c r="B30" s="19">
        <v>12</v>
      </c>
      <c r="C30" s="20">
        <f t="shared" si="0"/>
        <v>26</v>
      </c>
      <c r="D30" s="45" t="s">
        <v>90</v>
      </c>
      <c r="E30" s="45" t="s">
        <v>58</v>
      </c>
      <c r="F30" s="22" t="s">
        <v>94</v>
      </c>
      <c r="G30" s="35">
        <v>21957237</v>
      </c>
      <c r="H30" s="49" t="s">
        <v>92</v>
      </c>
      <c r="I30" s="49" t="s">
        <v>93</v>
      </c>
      <c r="J30" s="54">
        <v>6070</v>
      </c>
      <c r="K30" s="55">
        <v>74482.929999999993</v>
      </c>
      <c r="L30" s="56">
        <v>45992.600694444445</v>
      </c>
      <c r="M30" s="56"/>
      <c r="N30" s="57" t="s">
        <v>31</v>
      </c>
      <c r="O30" s="24" t="s">
        <v>82</v>
      </c>
    </row>
    <row r="31" spans="1:15" x14ac:dyDescent="0.3">
      <c r="A31" s="18">
        <v>45994</v>
      </c>
      <c r="B31" s="19">
        <v>12</v>
      </c>
      <c r="C31" s="20">
        <f t="shared" si="0"/>
        <v>27</v>
      </c>
      <c r="D31" s="49" t="s">
        <v>90</v>
      </c>
      <c r="E31" s="45" t="s">
        <v>58</v>
      </c>
      <c r="F31" s="32" t="s">
        <v>95</v>
      </c>
      <c r="G31" s="58">
        <v>21936873</v>
      </c>
      <c r="H31" s="49" t="s">
        <v>92</v>
      </c>
      <c r="I31" s="49" t="s">
        <v>93</v>
      </c>
      <c r="J31" s="54">
        <v>5473</v>
      </c>
      <c r="K31" s="55">
        <v>79372</v>
      </c>
      <c r="L31" s="56">
        <v>45989.000694444447</v>
      </c>
      <c r="M31" s="56"/>
      <c r="N31" s="12" t="s">
        <v>96</v>
      </c>
      <c r="O31" s="24" t="s">
        <v>82</v>
      </c>
    </row>
    <row r="32" spans="1:15" x14ac:dyDescent="0.3">
      <c r="A32" s="18">
        <v>45994</v>
      </c>
      <c r="B32" s="19">
        <v>12</v>
      </c>
      <c r="C32" s="20">
        <f t="shared" si="0"/>
        <v>28</v>
      </c>
      <c r="D32" s="45" t="s">
        <v>90</v>
      </c>
      <c r="E32" s="45" t="s">
        <v>58</v>
      </c>
      <c r="F32" s="59" t="s">
        <v>97</v>
      </c>
      <c r="G32" s="45">
        <v>21936954</v>
      </c>
      <c r="H32" s="49" t="s">
        <v>92</v>
      </c>
      <c r="I32" s="49" t="s">
        <v>93</v>
      </c>
      <c r="J32" s="54">
        <v>6743</v>
      </c>
      <c r="K32" s="55">
        <v>96454.77</v>
      </c>
      <c r="L32" s="56">
        <v>45987.986111111109</v>
      </c>
      <c r="M32" s="56"/>
      <c r="N32" s="12" t="s">
        <v>26</v>
      </c>
      <c r="O32" s="24" t="s">
        <v>82</v>
      </c>
    </row>
    <row r="33" spans="1:15" x14ac:dyDescent="0.3">
      <c r="A33" s="18">
        <v>45994</v>
      </c>
      <c r="B33" s="19">
        <v>12</v>
      </c>
      <c r="C33" s="20">
        <f t="shared" si="0"/>
        <v>29</v>
      </c>
      <c r="D33" s="49" t="s">
        <v>90</v>
      </c>
      <c r="E33" s="49" t="s">
        <v>58</v>
      </c>
      <c r="F33" s="59" t="s">
        <v>98</v>
      </c>
      <c r="G33" s="49">
        <v>21944760</v>
      </c>
      <c r="H33" s="49" t="s">
        <v>92</v>
      </c>
      <c r="I33" s="49" t="s">
        <v>93</v>
      </c>
      <c r="J33" s="54">
        <v>6453.9</v>
      </c>
      <c r="K33" s="55">
        <v>79187.11</v>
      </c>
      <c r="L33" s="56">
        <v>45994.544444444444</v>
      </c>
      <c r="M33" s="56"/>
      <c r="N33" s="12" t="s">
        <v>26</v>
      </c>
      <c r="O33" s="24" t="s">
        <v>82</v>
      </c>
    </row>
    <row r="34" spans="1:15" x14ac:dyDescent="0.3">
      <c r="A34" s="18">
        <v>45994</v>
      </c>
      <c r="B34" s="19">
        <v>12</v>
      </c>
      <c r="C34" s="20">
        <f t="shared" si="0"/>
        <v>30</v>
      </c>
      <c r="D34" s="49" t="s">
        <v>99</v>
      </c>
      <c r="E34" s="45" t="s">
        <v>58</v>
      </c>
      <c r="F34" s="44" t="s">
        <v>100</v>
      </c>
      <c r="G34" s="60">
        <v>1032</v>
      </c>
      <c r="H34" s="49" t="s">
        <v>101</v>
      </c>
      <c r="I34" s="49" t="s">
        <v>102</v>
      </c>
      <c r="J34" s="54">
        <v>17793.326000000001</v>
      </c>
      <c r="K34" s="55">
        <v>653054.68000000005</v>
      </c>
      <c r="L34" s="56">
        <v>45994.306944444441</v>
      </c>
      <c r="M34" s="56"/>
      <c r="N34" s="57" t="s">
        <v>31</v>
      </c>
      <c r="O34" s="24" t="s">
        <v>62</v>
      </c>
    </row>
    <row r="35" spans="1:15" x14ac:dyDescent="0.3">
      <c r="A35" s="18">
        <v>45994</v>
      </c>
      <c r="B35" s="19">
        <v>12</v>
      </c>
      <c r="C35" s="20">
        <f t="shared" si="0"/>
        <v>31</v>
      </c>
      <c r="D35" s="40" t="s">
        <v>103</v>
      </c>
      <c r="E35" s="40" t="s">
        <v>58</v>
      </c>
      <c r="F35" s="48" t="s">
        <v>104</v>
      </c>
      <c r="G35" s="23" t="s">
        <v>105</v>
      </c>
      <c r="H35" s="49" t="s">
        <v>106</v>
      </c>
      <c r="I35" s="40" t="s">
        <v>107</v>
      </c>
      <c r="J35" s="61">
        <v>18301</v>
      </c>
      <c r="K35" s="62">
        <v>56090.224999999999</v>
      </c>
      <c r="L35" s="63">
        <v>45994.166666666664</v>
      </c>
      <c r="M35" s="63">
        <v>45994.522222222222</v>
      </c>
      <c r="N35" s="57" t="s">
        <v>31</v>
      </c>
      <c r="O35" s="24" t="s">
        <v>62</v>
      </c>
    </row>
    <row r="36" spans="1:15" x14ac:dyDescent="0.3">
      <c r="A36" s="18">
        <v>45994</v>
      </c>
      <c r="B36" s="19">
        <v>12</v>
      </c>
      <c r="C36" s="20">
        <f t="shared" si="0"/>
        <v>32</v>
      </c>
      <c r="D36" s="40" t="s">
        <v>103</v>
      </c>
      <c r="E36" s="40" t="s">
        <v>58</v>
      </c>
      <c r="F36" s="48" t="s">
        <v>108</v>
      </c>
      <c r="G36" s="23" t="s">
        <v>105</v>
      </c>
      <c r="H36" s="49" t="s">
        <v>109</v>
      </c>
      <c r="I36" s="40" t="s">
        <v>107</v>
      </c>
      <c r="J36" s="61">
        <v>18301</v>
      </c>
      <c r="K36" s="62">
        <v>56090.224999999999</v>
      </c>
      <c r="L36" s="63">
        <v>45994.166666666664</v>
      </c>
      <c r="M36" s="63">
        <v>45994.522222222222</v>
      </c>
      <c r="N36" s="57" t="s">
        <v>31</v>
      </c>
      <c r="O36" s="24" t="s">
        <v>62</v>
      </c>
    </row>
    <row r="37" spans="1:15" x14ac:dyDescent="0.3">
      <c r="A37" s="18">
        <v>45994</v>
      </c>
      <c r="B37" s="19">
        <v>12</v>
      </c>
      <c r="C37" s="20">
        <f t="shared" si="0"/>
        <v>33</v>
      </c>
      <c r="D37" s="49" t="s">
        <v>110</v>
      </c>
      <c r="E37" s="45" t="s">
        <v>58</v>
      </c>
      <c r="F37" s="22" t="s">
        <v>111</v>
      </c>
      <c r="G37" s="60">
        <v>126</v>
      </c>
      <c r="H37" s="49" t="s">
        <v>112</v>
      </c>
      <c r="I37" s="49" t="s">
        <v>113</v>
      </c>
      <c r="J37" s="54">
        <v>25000</v>
      </c>
      <c r="K37" s="55">
        <v>5250</v>
      </c>
      <c r="L37" s="56">
        <v>45993.899305555555</v>
      </c>
      <c r="M37" s="56">
        <v>45994.489583333336</v>
      </c>
      <c r="N37" s="57" t="s">
        <v>31</v>
      </c>
      <c r="O37" s="24" t="s">
        <v>62</v>
      </c>
    </row>
    <row r="38" spans="1:15" x14ac:dyDescent="0.3">
      <c r="A38" s="18">
        <v>45994</v>
      </c>
      <c r="B38" s="19">
        <v>12</v>
      </c>
      <c r="C38" s="20">
        <f t="shared" si="0"/>
        <v>34</v>
      </c>
      <c r="D38" s="40" t="s">
        <v>114</v>
      </c>
      <c r="E38" s="40" t="s">
        <v>58</v>
      </c>
      <c r="F38" s="64" t="s">
        <v>115</v>
      </c>
      <c r="G38" s="33">
        <v>4095</v>
      </c>
      <c r="H38" s="49" t="s">
        <v>60</v>
      </c>
      <c r="I38" s="40" t="s">
        <v>116</v>
      </c>
      <c r="J38" s="61">
        <v>16768</v>
      </c>
      <c r="K38" s="62">
        <v>128305.91</v>
      </c>
      <c r="L38" s="63">
        <v>45994.465277777781</v>
      </c>
      <c r="M38" s="63"/>
      <c r="N38" s="57" t="s">
        <v>26</v>
      </c>
      <c r="O38" s="24" t="s">
        <v>62</v>
      </c>
    </row>
    <row r="39" spans="1:15" x14ac:dyDescent="0.3">
      <c r="A39" s="18">
        <v>45994</v>
      </c>
      <c r="B39" s="19">
        <v>12</v>
      </c>
      <c r="C39" s="20">
        <f t="shared" si="0"/>
        <v>35</v>
      </c>
      <c r="D39" s="40" t="s">
        <v>117</v>
      </c>
      <c r="E39" s="40" t="s">
        <v>58</v>
      </c>
      <c r="F39" s="65" t="s">
        <v>118</v>
      </c>
      <c r="G39" s="23">
        <v>194697</v>
      </c>
      <c r="H39" s="49" t="s">
        <v>119</v>
      </c>
      <c r="I39" s="40" t="s">
        <v>120</v>
      </c>
      <c r="J39" s="61">
        <v>18527</v>
      </c>
      <c r="K39" s="62">
        <v>62622.5</v>
      </c>
      <c r="L39" s="63">
        <v>45994.557638888888</v>
      </c>
      <c r="M39" s="63"/>
      <c r="N39" s="57" t="s">
        <v>31</v>
      </c>
      <c r="O39" s="24" t="s">
        <v>62</v>
      </c>
    </row>
    <row r="40" spans="1:15" x14ac:dyDescent="0.3">
      <c r="A40" s="18">
        <v>45994</v>
      </c>
      <c r="B40" s="19">
        <v>12</v>
      </c>
      <c r="C40" s="20">
        <f t="shared" si="0"/>
        <v>36</v>
      </c>
      <c r="D40" s="40" t="s">
        <v>117</v>
      </c>
      <c r="E40" s="40" t="s">
        <v>58</v>
      </c>
      <c r="F40" s="65" t="s">
        <v>121</v>
      </c>
      <c r="G40" s="23">
        <v>194697</v>
      </c>
      <c r="H40" s="49" t="s">
        <v>119</v>
      </c>
      <c r="I40" s="40" t="s">
        <v>120</v>
      </c>
      <c r="J40" s="61">
        <v>18527</v>
      </c>
      <c r="K40" s="62">
        <v>62622.5</v>
      </c>
      <c r="L40" s="63">
        <v>45994.557638888888</v>
      </c>
      <c r="M40" s="63"/>
      <c r="N40" s="57" t="s">
        <v>31</v>
      </c>
      <c r="O40" s="24" t="s">
        <v>62</v>
      </c>
    </row>
    <row r="41" spans="1:15" x14ac:dyDescent="0.3">
      <c r="A41" s="18">
        <v>45994</v>
      </c>
      <c r="B41" s="19">
        <v>12</v>
      </c>
      <c r="C41" s="20">
        <f t="shared" si="0"/>
        <v>37</v>
      </c>
      <c r="D41" s="40" t="s">
        <v>122</v>
      </c>
      <c r="E41" s="40" t="s">
        <v>58</v>
      </c>
      <c r="F41" s="53" t="s">
        <v>123</v>
      </c>
      <c r="G41" s="40">
        <v>1193</v>
      </c>
      <c r="H41" s="49" t="s">
        <v>60</v>
      </c>
      <c r="I41" s="40" t="s">
        <v>124</v>
      </c>
      <c r="J41" s="61">
        <v>2500</v>
      </c>
      <c r="K41" s="62">
        <v>27533.03</v>
      </c>
      <c r="L41" s="63">
        <v>45994.540277777778</v>
      </c>
      <c r="M41" s="63"/>
      <c r="N41" s="57" t="s">
        <v>26</v>
      </c>
      <c r="O41" s="24" t="s">
        <v>62</v>
      </c>
    </row>
    <row r="42" spans="1:15" x14ac:dyDescent="0.3">
      <c r="A42" s="18">
        <v>45994</v>
      </c>
      <c r="B42" s="19">
        <v>12</v>
      </c>
      <c r="C42" s="20">
        <f t="shared" si="0"/>
        <v>38</v>
      </c>
      <c r="D42" s="40" t="s">
        <v>125</v>
      </c>
      <c r="E42" s="40" t="s">
        <v>58</v>
      </c>
      <c r="F42" s="53" t="s">
        <v>126</v>
      </c>
      <c r="G42" s="40">
        <v>1988</v>
      </c>
      <c r="H42" s="49" t="s">
        <v>119</v>
      </c>
      <c r="I42" s="40" t="s">
        <v>127</v>
      </c>
      <c r="J42" s="61">
        <v>35000</v>
      </c>
      <c r="K42" s="62">
        <v>18114.93</v>
      </c>
      <c r="L42" s="63">
        <v>45994.590277777781</v>
      </c>
      <c r="M42" s="63"/>
      <c r="N42" s="57" t="s">
        <v>26</v>
      </c>
      <c r="O42" s="24" t="s">
        <v>62</v>
      </c>
    </row>
    <row r="43" spans="1:15" x14ac:dyDescent="0.3">
      <c r="A43" s="18">
        <v>45994</v>
      </c>
      <c r="B43" s="19">
        <v>12</v>
      </c>
      <c r="C43" s="20">
        <f t="shared" si="0"/>
        <v>39</v>
      </c>
      <c r="D43" s="40" t="s">
        <v>128</v>
      </c>
      <c r="E43" s="40" t="s">
        <v>58</v>
      </c>
      <c r="F43" s="53" t="s">
        <v>129</v>
      </c>
      <c r="G43" s="40">
        <v>34885</v>
      </c>
      <c r="H43" s="49" t="s">
        <v>60</v>
      </c>
      <c r="I43" s="40" t="s">
        <v>130</v>
      </c>
      <c r="J43" s="61">
        <v>20532</v>
      </c>
      <c r="K43" s="62">
        <v>137794.32999999999</v>
      </c>
      <c r="L43" s="63">
        <v>45994.569444444445</v>
      </c>
      <c r="M43" s="63"/>
      <c r="N43" s="57" t="s">
        <v>26</v>
      </c>
      <c r="O43" s="24" t="s">
        <v>62</v>
      </c>
    </row>
    <row r="44" spans="1:15" x14ac:dyDescent="0.3">
      <c r="A44" s="18">
        <v>45994</v>
      </c>
      <c r="B44" s="19">
        <v>12</v>
      </c>
      <c r="C44" s="20">
        <f t="shared" si="0"/>
        <v>40</v>
      </c>
      <c r="D44" s="40" t="s">
        <v>131</v>
      </c>
      <c r="E44" s="40" t="s">
        <v>58</v>
      </c>
      <c r="F44" s="64" t="s">
        <v>132</v>
      </c>
      <c r="G44" s="33" t="s">
        <v>133</v>
      </c>
      <c r="H44" s="49" t="s">
        <v>134</v>
      </c>
      <c r="I44" s="40" t="s">
        <v>135</v>
      </c>
      <c r="J44" s="61">
        <v>3278</v>
      </c>
      <c r="K44" s="62">
        <v>29375.1</v>
      </c>
      <c r="L44" s="63">
        <v>45994.623611111114</v>
      </c>
      <c r="M44" s="63">
        <v>45994.652777777781</v>
      </c>
      <c r="N44" s="57" t="s">
        <v>73</v>
      </c>
      <c r="O44" s="24" t="s">
        <v>62</v>
      </c>
    </row>
    <row r="45" spans="1:15" x14ac:dyDescent="0.3">
      <c r="A45" s="18">
        <v>45994</v>
      </c>
      <c r="B45" s="19">
        <v>12</v>
      </c>
      <c r="C45" s="20">
        <f t="shared" si="0"/>
        <v>41</v>
      </c>
      <c r="D45" s="40" t="s">
        <v>136</v>
      </c>
      <c r="E45" s="40" t="s">
        <v>58</v>
      </c>
      <c r="F45" s="53" t="s">
        <v>137</v>
      </c>
      <c r="G45" s="40">
        <v>59211</v>
      </c>
      <c r="H45" s="49" t="s">
        <v>60</v>
      </c>
      <c r="I45" s="40" t="s">
        <v>58</v>
      </c>
      <c r="J45" s="61">
        <v>4200</v>
      </c>
      <c r="K45" s="62">
        <v>300000</v>
      </c>
      <c r="L45" s="63">
        <v>45994.468055555553</v>
      </c>
      <c r="M45" s="63"/>
      <c r="N45" s="57" t="s">
        <v>26</v>
      </c>
      <c r="O45" s="24" t="s">
        <v>82</v>
      </c>
    </row>
    <row r="46" spans="1:15" x14ac:dyDescent="0.3">
      <c r="A46" s="18">
        <v>45994</v>
      </c>
      <c r="B46" s="19">
        <v>12</v>
      </c>
      <c r="C46" s="20">
        <f t="shared" si="0"/>
        <v>42</v>
      </c>
      <c r="D46" s="40" t="s">
        <v>136</v>
      </c>
      <c r="E46" s="40" t="s">
        <v>138</v>
      </c>
      <c r="F46" s="53" t="s">
        <v>137</v>
      </c>
      <c r="G46" s="40">
        <v>9225</v>
      </c>
      <c r="H46" s="49">
        <v>1</v>
      </c>
      <c r="I46" s="40" t="s">
        <v>139</v>
      </c>
      <c r="J46" s="61">
        <v>20219</v>
      </c>
      <c r="K46" s="62">
        <v>839437.5</v>
      </c>
      <c r="L46" s="63">
        <v>45994.468055555553</v>
      </c>
      <c r="M46" s="63"/>
      <c r="N46" s="57" t="s">
        <v>26</v>
      </c>
      <c r="O46" s="24" t="s">
        <v>82</v>
      </c>
    </row>
    <row r="47" spans="1:15" x14ac:dyDescent="0.3">
      <c r="A47" s="18">
        <v>45994</v>
      </c>
      <c r="B47" s="19">
        <v>12</v>
      </c>
      <c r="C47" s="20">
        <f t="shared" si="0"/>
        <v>43</v>
      </c>
      <c r="D47" s="40" t="s">
        <v>136</v>
      </c>
      <c r="E47" s="40" t="s">
        <v>138</v>
      </c>
      <c r="F47" s="53" t="s">
        <v>137</v>
      </c>
      <c r="G47" s="40">
        <v>9226</v>
      </c>
      <c r="H47" s="49">
        <v>1</v>
      </c>
      <c r="I47" s="40" t="s">
        <v>140</v>
      </c>
      <c r="J47" s="61">
        <v>12000</v>
      </c>
      <c r="K47" s="62">
        <v>585000</v>
      </c>
      <c r="L47" s="63">
        <v>45994.468055555553</v>
      </c>
      <c r="M47" s="63"/>
      <c r="N47" s="57" t="s">
        <v>26</v>
      </c>
      <c r="O47" s="24" t="s">
        <v>82</v>
      </c>
    </row>
    <row r="48" spans="1:15" x14ac:dyDescent="0.3">
      <c r="A48" s="18">
        <v>45994</v>
      </c>
      <c r="B48" s="19">
        <v>12</v>
      </c>
      <c r="C48" s="20">
        <f t="shared" si="0"/>
        <v>44</v>
      </c>
      <c r="D48" s="24"/>
      <c r="E48" s="24"/>
      <c r="F48" s="57"/>
      <c r="G48" s="24"/>
      <c r="H48" s="24"/>
      <c r="I48" s="24"/>
      <c r="J48" s="25"/>
      <c r="K48" s="26"/>
      <c r="L48" s="27"/>
      <c r="M48" s="27"/>
      <c r="N48" s="57"/>
      <c r="O48" s="24"/>
    </row>
  </sheetData>
  <mergeCells count="3">
    <mergeCell ref="A1:C3"/>
    <mergeCell ref="D1:I3"/>
    <mergeCell ref="L1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 Silva Gonçalves</dc:creator>
  <cp:lastModifiedBy>Eduardo da Silva Gonçalves</cp:lastModifiedBy>
  <dcterms:created xsi:type="dcterms:W3CDTF">2025-12-03T19:04:26Z</dcterms:created>
  <dcterms:modified xsi:type="dcterms:W3CDTF">2025-12-03T19:05:44Z</dcterms:modified>
</cp:coreProperties>
</file>